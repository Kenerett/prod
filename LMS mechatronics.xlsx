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Tələbə umumi məlumatlar" sheetId="2" r:id="rId1"/>
    <sheet name="ZU 044" sheetId="1" r:id="rId2"/>
    <sheet name="642.23E" sheetId="3" r:id="rId3"/>
    <sheet name="ZU 04.22" sheetId="4" r:id="rId4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8" i="4" l="1"/>
  <c r="AQ28" i="4"/>
  <c r="AR27" i="4"/>
  <c r="AQ27" i="4"/>
  <c r="AR26" i="4"/>
  <c r="AQ26" i="4"/>
  <c r="AR25" i="4"/>
  <c r="AQ25" i="4"/>
  <c r="AR24" i="4"/>
  <c r="AQ24" i="4"/>
  <c r="AR23" i="4"/>
  <c r="AQ23" i="4"/>
  <c r="AR22" i="4"/>
  <c r="AQ22" i="4"/>
  <c r="AR21" i="4"/>
  <c r="AQ21" i="4"/>
  <c r="AR20" i="4"/>
  <c r="AQ20" i="4"/>
  <c r="AR19" i="4"/>
  <c r="AQ19" i="4"/>
  <c r="AR18" i="4"/>
  <c r="AQ18" i="4"/>
  <c r="AR17" i="4"/>
  <c r="AQ17" i="4"/>
  <c r="AR16" i="4"/>
  <c r="AQ16" i="4"/>
  <c r="AR15" i="4"/>
  <c r="AQ15" i="4"/>
  <c r="AR14" i="4"/>
  <c r="AQ14" i="4"/>
  <c r="AR13" i="4"/>
  <c r="AQ13" i="4"/>
  <c r="AR12" i="4"/>
  <c r="AQ12" i="4"/>
  <c r="AR11" i="4"/>
  <c r="AQ11" i="4"/>
  <c r="AR10" i="4"/>
  <c r="AQ10" i="4"/>
  <c r="AR9" i="4"/>
  <c r="AQ9" i="4"/>
  <c r="AR8" i="4"/>
  <c r="AQ8" i="4"/>
  <c r="AR7" i="4"/>
  <c r="AQ7" i="4"/>
  <c r="AR6" i="4"/>
  <c r="AQ6" i="4"/>
  <c r="AR5" i="4"/>
  <c r="AQ5" i="4"/>
  <c r="AR4" i="4"/>
  <c r="AQ4" i="4"/>
  <c r="AR3" i="4"/>
  <c r="AQ3" i="4"/>
  <c r="AR2" i="4"/>
  <c r="AQ2" i="4"/>
  <c r="AN24" i="3" l="1"/>
  <c r="AM24" i="3"/>
  <c r="AN23" i="3"/>
  <c r="AM23" i="3"/>
  <c r="AN22" i="3"/>
  <c r="AM22" i="3"/>
  <c r="AN21" i="3"/>
  <c r="AM21" i="3"/>
  <c r="AN20" i="3"/>
  <c r="AM20" i="3"/>
  <c r="AN19" i="3"/>
  <c r="AM19" i="3"/>
  <c r="AN18" i="3"/>
  <c r="AM18" i="3"/>
  <c r="AN17" i="3"/>
  <c r="AM17" i="3"/>
  <c r="AN16" i="3"/>
  <c r="AM16" i="3"/>
  <c r="AN15" i="3"/>
  <c r="AM15" i="3"/>
  <c r="AN14" i="3"/>
  <c r="AM14" i="3"/>
  <c r="AN13" i="3"/>
  <c r="AM13" i="3"/>
  <c r="AN12" i="3"/>
  <c r="AM12" i="3"/>
  <c r="AN11" i="3"/>
  <c r="AM11" i="3"/>
  <c r="AN10" i="3"/>
  <c r="AM10" i="3"/>
  <c r="AN9" i="3"/>
  <c r="AM9" i="3"/>
  <c r="AN8" i="3"/>
  <c r="AM8" i="3"/>
  <c r="AN7" i="3"/>
  <c r="AM7" i="3"/>
  <c r="AN6" i="3"/>
  <c r="AM6" i="3"/>
  <c r="AN5" i="3"/>
  <c r="AM5" i="3"/>
  <c r="AN4" i="3"/>
  <c r="AM4" i="3"/>
  <c r="AN3" i="3"/>
  <c r="AM3" i="3"/>
  <c r="AN2" i="3"/>
  <c r="AM2" i="3"/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B2" i="1"/>
  <c r="AA2" i="1"/>
</calcChain>
</file>

<file path=xl/sharedStrings.xml><?xml version="1.0" encoding="utf-8"?>
<sst xmlns="http://schemas.openxmlformats.org/spreadsheetml/2006/main" count="1876" uniqueCount="902">
  <si>
    <t>Azerbaijan language</t>
  </si>
  <si>
    <t>Fakültə adı</t>
  </si>
  <si>
    <t>Soyadı</t>
  </si>
  <si>
    <t>Adı</t>
  </si>
  <si>
    <t>Atasının adı</t>
  </si>
  <si>
    <t>Şəxsiyyət vəsiqəsinin seriyası</t>
  </si>
  <si>
    <t>Şəxsiyyət vəsiqəsinin nömrəsi</t>
  </si>
  <si>
    <t>Cinsi</t>
  </si>
  <si>
    <t>Tələbə kartının nömrəsi</t>
  </si>
  <si>
    <t>S/N</t>
  </si>
  <si>
    <t>FIN</t>
  </si>
  <si>
    <t>Statusu
(dövlət sifarişli və ya ödənişli)</t>
  </si>
  <si>
    <t>Anadan olma tarixi</t>
  </si>
  <si>
    <t>Anadan olduğu şəhər, rayon</t>
  </si>
  <si>
    <t>Vətəndaşlıq</t>
  </si>
  <si>
    <t xml:space="preserve">Təhsil forması (Əyani/qiyabi) </t>
  </si>
  <si>
    <t>Bölmə</t>
  </si>
  <si>
    <t>Yaşadığı ünvan</t>
  </si>
  <si>
    <t>Təqəüd alır (hə/yox)</t>
  </si>
  <si>
    <t>Qəbul ili</t>
  </si>
  <si>
    <t>Qrup adı/N-si</t>
  </si>
  <si>
    <t>Əlaqə telefon N-si</t>
  </si>
  <si>
    <t>e-mail ünvanı</t>
  </si>
  <si>
    <t>ixtisas və  ixtisaslaşmanın kodu (NK qərarına əsasən)</t>
  </si>
  <si>
    <t>İxtrisasın adı (ingilis dilində)</t>
  </si>
  <si>
    <t>ZU-044</t>
  </si>
  <si>
    <t>English</t>
  </si>
  <si>
    <t>BA programs</t>
  </si>
  <si>
    <t>Full-time</t>
  </si>
  <si>
    <t>M</t>
  </si>
  <si>
    <t>AR</t>
  </si>
  <si>
    <t>State-funded education</t>
  </si>
  <si>
    <t>y</t>
  </si>
  <si>
    <t>Təhsil pilləsi</t>
  </si>
  <si>
    <t>Bachelor</t>
  </si>
  <si>
    <t>Qəbul balı</t>
  </si>
  <si>
    <t>Təhsil ili (kurs)</t>
  </si>
  <si>
    <t xml:space="preserve">Mechatronics </t>
  </si>
  <si>
    <t>Abdulzadə Kazim Elmir</t>
  </si>
  <si>
    <t>Adnaliyev Yusif Sabir</t>
  </si>
  <si>
    <t>Allahverdiyeva Mədinə Akif</t>
  </si>
  <si>
    <t>Ayvazov Tamerlan İmran</t>
  </si>
  <si>
    <t>Bədəlov İbrahim Fariz</t>
  </si>
  <si>
    <t>Əliyev Yusif  Müşfiq</t>
  </si>
  <si>
    <t>Əsədov Əli Teymur</t>
  </si>
  <si>
    <t>Əsgərli Kənan Səxavət</t>
  </si>
  <si>
    <t>Əzizli Ömər Zakir</t>
  </si>
  <si>
    <t>Haciquliyev Amin Ramil</t>
  </si>
  <si>
    <t>Həsənli Əli Ramin</t>
  </si>
  <si>
    <t>Hümbətova Nigar Rauf</t>
  </si>
  <si>
    <t>Haciyev İsmayil Nazim</t>
  </si>
  <si>
    <t>İsmayilov İzahat Təmraz</t>
  </si>
  <si>
    <t>Mədətov Timur Rafiq</t>
  </si>
  <si>
    <t>Mehdiyev Səid Rafəd</t>
  </si>
  <si>
    <t>Məmmədli Məhəmməd Mübariz</t>
  </si>
  <si>
    <t>Məsməliyeva Gülüstan Anar</t>
  </si>
  <si>
    <t>Mürşüdlü Vüqar Famil</t>
  </si>
  <si>
    <t xml:space="preserve">Osmanli Bahadur Anar  </t>
  </si>
  <si>
    <t>Qasimov Vəli Asif</t>
  </si>
  <si>
    <t>Qasimzadə Əziz Rza</t>
  </si>
  <si>
    <t>Quluyeva Ləman Məzahim</t>
  </si>
  <si>
    <t>Qurbanov Ramiz Ramin</t>
  </si>
  <si>
    <t>Rzayev İlqar Qara</t>
  </si>
  <si>
    <t>Salahli Yusif Çingiz</t>
  </si>
  <si>
    <t>Sariyev Fərid Vüsal</t>
  </si>
  <si>
    <t>Xudiyeva Leyla Seymur</t>
  </si>
  <si>
    <t xml:space="preserve">Hashem Emad Omar Abdulrazzaq </t>
  </si>
  <si>
    <t>Shazad Adil Mohammad</t>
  </si>
  <si>
    <t xml:space="preserve">Qaid Mohammed Abdulrahman Ahmed Ali </t>
  </si>
  <si>
    <t>abdulzadkazim@gmail.com</t>
  </si>
  <si>
    <t>adnaliyevy2006@gmail.com</t>
  </si>
  <si>
    <t>maddialll775@gmail.com</t>
  </si>
  <si>
    <t>ayvazovtamerlan4@gmail.com</t>
  </si>
  <si>
    <t>ibrahimbedelov222@gmail.com</t>
  </si>
  <si>
    <t>ibrahimbek1408@gmail.com</t>
  </si>
  <si>
    <t>aliasadov.07@gmail.com</t>
  </si>
  <si>
    <t>esgerlikenan97@gmail.com</t>
  </si>
  <si>
    <t>omrzizov.001@gmail.com</t>
  </si>
  <si>
    <t>haciguliyevamin@gmail.com</t>
  </si>
  <si>
    <t>aligasanli30@gmail.com</t>
  </si>
  <si>
    <t>nigar.r.asoiu@gmail.com</t>
  </si>
  <si>
    <t>ismailhaciyev642@gmail.com</t>
  </si>
  <si>
    <t>servet_oguz048@mail.ru</t>
  </si>
  <si>
    <t>tteymur354@gmail.com</t>
  </si>
  <si>
    <t>seid.mekhdiyev02@gmail.com</t>
  </si>
  <si>
    <t>rfftfff6@gmail.com</t>
  </si>
  <si>
    <t>gulustan.masmaliyeva@gmail.com</t>
  </si>
  <si>
    <t>vuqarzu044@gmail.com</t>
  </si>
  <si>
    <t>bahadurosmanli53@gmail.com</t>
  </si>
  <si>
    <t>vliqasimov76@gmail.com</t>
  </si>
  <si>
    <t>qasimovazizzz5@gmail.com</t>
  </si>
  <si>
    <t>lmanquliyeva0@gmail.com</t>
  </si>
  <si>
    <t>qramizq123@gmail.com</t>
  </si>
  <si>
    <t>ilqarr904@gmail.com</t>
  </si>
  <si>
    <t>yusifslhl@gmail.com</t>
  </si>
  <si>
    <t>farid.sariyev.zu044@gmail.com</t>
  </si>
  <si>
    <t>leyla.s.khudiyeva@gmail.com</t>
  </si>
  <si>
    <t>emadoh2006@gmail.com</t>
  </si>
  <si>
    <t>hassanandadil2015@gmail.com</t>
  </si>
  <si>
    <t>modgaid95@gmail.com</t>
  </si>
  <si>
    <t xml:space="preserve">Abdulzada </t>
  </si>
  <si>
    <t xml:space="preserve"> Kazim </t>
  </si>
  <si>
    <t xml:space="preserve"> Elmir</t>
  </si>
  <si>
    <t xml:space="preserve">Adnaliyev </t>
  </si>
  <si>
    <t xml:space="preserve"> Yusif </t>
  </si>
  <si>
    <t>Sabir</t>
  </si>
  <si>
    <t xml:space="preserve">Allahverdiyeva </t>
  </si>
  <si>
    <t xml:space="preserve"> Madina </t>
  </si>
  <si>
    <t xml:space="preserve"> Akif</t>
  </si>
  <si>
    <t xml:space="preserve">Ayvazov </t>
  </si>
  <si>
    <t xml:space="preserve"> Tamerlan</t>
  </si>
  <si>
    <t xml:space="preserve"> İmran</t>
  </si>
  <si>
    <t>Badalov</t>
  </si>
  <si>
    <t xml:space="preserve"> İbrahim </t>
  </si>
  <si>
    <t xml:space="preserve"> Fariz</t>
  </si>
  <si>
    <t xml:space="preserve">Aliyev </t>
  </si>
  <si>
    <t xml:space="preserve"> Yusif  </t>
  </si>
  <si>
    <t xml:space="preserve">  Mushviq</t>
  </si>
  <si>
    <t>Teymur</t>
  </si>
  <si>
    <t>Zakir</t>
  </si>
  <si>
    <t>Haciquliyev</t>
  </si>
  <si>
    <t>Amin</t>
  </si>
  <si>
    <t>Ramil</t>
  </si>
  <si>
    <t>Ramin</t>
  </si>
  <si>
    <t>Nigar</t>
  </si>
  <si>
    <t>Rauf</t>
  </si>
  <si>
    <t>Haciyev</t>
  </si>
  <si>
    <t>İsmayil</t>
  </si>
  <si>
    <t>Nazim</t>
  </si>
  <si>
    <t>İsmayilov</t>
  </si>
  <si>
    <t>İzahat</t>
  </si>
  <si>
    <t>Təmraz</t>
  </si>
  <si>
    <t>Timur</t>
  </si>
  <si>
    <t>Rafiq</t>
  </si>
  <si>
    <t>Mehdiyev</t>
  </si>
  <si>
    <t>Anar</t>
  </si>
  <si>
    <t>Famil</t>
  </si>
  <si>
    <t>Osmanli</t>
  </si>
  <si>
    <t>Bahadur</t>
  </si>
  <si>
    <t>Qasimov</t>
  </si>
  <si>
    <t>Asif</t>
  </si>
  <si>
    <t>Rza</t>
  </si>
  <si>
    <t>Quluyeva</t>
  </si>
  <si>
    <t>Qurbanov</t>
  </si>
  <si>
    <t>Ramiz</t>
  </si>
  <si>
    <t>Rzayev</t>
  </si>
  <si>
    <t>İlqar</t>
  </si>
  <si>
    <t>Qara</t>
  </si>
  <si>
    <t>Salahli</t>
  </si>
  <si>
    <t>Yusif</t>
  </si>
  <si>
    <t>Sariyev</t>
  </si>
  <si>
    <t>Leyla</t>
  </si>
  <si>
    <t>Seymur</t>
  </si>
  <si>
    <t>Hashem</t>
  </si>
  <si>
    <t>Emad</t>
  </si>
  <si>
    <t>Omar</t>
  </si>
  <si>
    <t>Shazad</t>
  </si>
  <si>
    <t>Adil</t>
  </si>
  <si>
    <t>Mohammad</t>
  </si>
  <si>
    <t>Qaid</t>
  </si>
  <si>
    <t>Mohammed</t>
  </si>
  <si>
    <t>Abdulrahman</t>
  </si>
  <si>
    <t>Ali</t>
  </si>
  <si>
    <t>Asadov</t>
  </si>
  <si>
    <t>Asgarli</t>
  </si>
  <si>
    <t>Azizli</t>
  </si>
  <si>
    <t>Hasanli</t>
  </si>
  <si>
    <t>Humbatova</t>
  </si>
  <si>
    <t>Madatov</t>
  </si>
  <si>
    <t>Mammadli</t>
  </si>
  <si>
    <t>Masmaliyeva</t>
  </si>
  <si>
    <t>Murshudlu</t>
  </si>
  <si>
    <t>Qasimzada</t>
  </si>
  <si>
    <t>Khudiyeva</t>
  </si>
  <si>
    <t>Kanan</t>
  </si>
  <si>
    <t>Said</t>
  </si>
  <si>
    <t>Mahammad</t>
  </si>
  <si>
    <t>Gulustan</t>
  </si>
  <si>
    <t>Vuqar</t>
  </si>
  <si>
    <t>Vali</t>
  </si>
  <si>
    <t>Aziz</t>
  </si>
  <si>
    <t>Laman</t>
  </si>
  <si>
    <t>Farid</t>
  </si>
  <si>
    <t>Saxavat</t>
  </si>
  <si>
    <t>Rafad</t>
  </si>
  <si>
    <t>Mubariz</t>
  </si>
  <si>
    <t>Mazahim</t>
  </si>
  <si>
    <t>Cingiz</t>
  </si>
  <si>
    <t>Vusal</t>
  </si>
  <si>
    <t>h</t>
  </si>
  <si>
    <t>B081802024</t>
  </si>
  <si>
    <t>B081812024</t>
  </si>
  <si>
    <t>B081822024</t>
  </si>
  <si>
    <t>B081832024</t>
  </si>
  <si>
    <t>B081842024</t>
  </si>
  <si>
    <t>B081852024</t>
  </si>
  <si>
    <t>B081862024</t>
  </si>
  <si>
    <t>B081872024</t>
  </si>
  <si>
    <t>B081882024</t>
  </si>
  <si>
    <t>B081892024</t>
  </si>
  <si>
    <t>B081902024</t>
  </si>
  <si>
    <t>B081912024</t>
  </si>
  <si>
    <t>B081922024</t>
  </si>
  <si>
    <t>B081932024</t>
  </si>
  <si>
    <t>B081942024</t>
  </si>
  <si>
    <t>B081952024</t>
  </si>
  <si>
    <t>B081962024</t>
  </si>
  <si>
    <t>B081972024</t>
  </si>
  <si>
    <t>B081982024</t>
  </si>
  <si>
    <t>B082002024</t>
  </si>
  <si>
    <t>B082012024</t>
  </si>
  <si>
    <t>B082022024</t>
  </si>
  <si>
    <t>B082032024</t>
  </si>
  <si>
    <t>B082042024</t>
  </si>
  <si>
    <t>B082052024</t>
  </si>
  <si>
    <t>B082062024</t>
  </si>
  <si>
    <t>B082072024</t>
  </si>
  <si>
    <t>B082082024</t>
  </si>
  <si>
    <t>28.03.2007</t>
  </si>
  <si>
    <t>02.11.2006</t>
  </si>
  <si>
    <t>14.09.2007</t>
  </si>
  <si>
    <t>01.02.2008</t>
  </si>
  <si>
    <t>18.08.2007</t>
  </si>
  <si>
    <t>06.07.2007</t>
  </si>
  <si>
    <t>18.10.2007</t>
  </si>
  <si>
    <t>11.01.2007</t>
  </si>
  <si>
    <t>12.11.2006</t>
  </si>
  <si>
    <t>09.01.2006</t>
  </si>
  <si>
    <t>30.08.2007</t>
  </si>
  <si>
    <t>13.03.2007</t>
  </si>
  <si>
    <t>16.12.2006</t>
  </si>
  <si>
    <t>09.04.2007</t>
  </si>
  <si>
    <t>06.09.2007</t>
  </si>
  <si>
    <t>16.07.2007</t>
  </si>
  <si>
    <t>30.01.2007</t>
  </si>
  <si>
    <t>20.03.2007</t>
  </si>
  <si>
    <t>17.03.2007</t>
  </si>
  <si>
    <t>09.08.2007</t>
  </si>
  <si>
    <t>05.07.2007</t>
  </si>
  <si>
    <t>06.07.2006</t>
  </si>
  <si>
    <t>22.01.2007</t>
  </si>
  <si>
    <t>22.05.2007</t>
  </si>
  <si>
    <t>13.12.2006</t>
  </si>
  <si>
    <t>23.11.2007</t>
  </si>
  <si>
    <t>12.02.2007</t>
  </si>
  <si>
    <t>05.01.2006</t>
  </si>
  <si>
    <t>22.06.2000</t>
  </si>
  <si>
    <t>28.03.2005</t>
  </si>
  <si>
    <t>W</t>
  </si>
  <si>
    <t>Contract-based education</t>
  </si>
  <si>
    <t>99477 568 88 07</t>
  </si>
  <si>
    <t>99477 321 55 15</t>
  </si>
  <si>
    <t>99470 879 19 79</t>
  </si>
  <si>
    <t>99451 777 47 61</t>
  </si>
  <si>
    <t>99477 565 98 19</t>
  </si>
  <si>
    <t>99410 718 10 34</t>
  </si>
  <si>
    <t>99477 384 42 42</t>
  </si>
  <si>
    <t>99455 475 13 12</t>
  </si>
  <si>
    <t>99455 578 18 36</t>
  </si>
  <si>
    <t>99477 337 73 79</t>
  </si>
  <si>
    <t>99470 860 03 01</t>
  </si>
  <si>
    <t>99455 765 30 37</t>
  </si>
  <si>
    <t>99450 855 16 43</t>
  </si>
  <si>
    <t>99450 334 19 79</t>
  </si>
  <si>
    <t>99450 840 12 59</t>
  </si>
  <si>
    <t>99477 512 48 54</t>
  </si>
  <si>
    <t>99455 223 24 70</t>
  </si>
  <si>
    <t>99477 217 64 50</t>
  </si>
  <si>
    <t>99470 611 40 34</t>
  </si>
  <si>
    <t>99455 548 37 02</t>
  </si>
  <si>
    <t xml:space="preserve">99450 728 41 87 </t>
  </si>
  <si>
    <t>99455 867 88 82</t>
  </si>
  <si>
    <t>99470 838 60 55</t>
  </si>
  <si>
    <t>99470 698 88 37</t>
  </si>
  <si>
    <t>99455 751 55 30</t>
  </si>
  <si>
    <t>99455 407 69 20</t>
  </si>
  <si>
    <t>99455 745 00 17</t>
  </si>
  <si>
    <t>99450 300 67 70</t>
  </si>
  <si>
    <t>99451 983 81 45</t>
  </si>
  <si>
    <t>99456 607 80 95</t>
  </si>
  <si>
    <t>99450 991 70 49</t>
  </si>
  <si>
    <t>8K8QGLF</t>
  </si>
  <si>
    <t>7s2v7dh</t>
  </si>
  <si>
    <t>79tk93f</t>
  </si>
  <si>
    <t>7LT51FA</t>
  </si>
  <si>
    <t>7N12VQ9</t>
  </si>
  <si>
    <t>7G8QC1Z</t>
  </si>
  <si>
    <t>7QNYGBT</t>
  </si>
  <si>
    <t>82NRZ0S</t>
  </si>
  <si>
    <t>6ERJ3MC</t>
  </si>
  <si>
    <t>6W86A6C</t>
  </si>
  <si>
    <t>5R8XQN3</t>
  </si>
  <si>
    <t>833WEUY</t>
  </si>
  <si>
    <t>7HAVRDG</t>
  </si>
  <si>
    <t>7XQQCK0</t>
  </si>
  <si>
    <t>7HM57HM</t>
  </si>
  <si>
    <t>7ES6PUN</t>
  </si>
  <si>
    <t>6FCPYRS</t>
  </si>
  <si>
    <t>896C2JZ</t>
  </si>
  <si>
    <t>707CCKU</t>
  </si>
  <si>
    <t>7DNYY94</t>
  </si>
  <si>
    <t>6y3h50f</t>
  </si>
  <si>
    <t>7CKUWFE</t>
  </si>
  <si>
    <t>7V4VMBY</t>
  </si>
  <si>
    <t>7MYN3N7</t>
  </si>
  <si>
    <t>7A9V48Z</t>
  </si>
  <si>
    <t>6NXANJB</t>
  </si>
  <si>
    <t>7NJ6W55</t>
  </si>
  <si>
    <t>6VUXH8B</t>
  </si>
  <si>
    <t>Bakı şəh, Binəqədi ray., 7-ci Mikrorayon, F.Məlikov küç., ev 1V, mən. 28</t>
  </si>
  <si>
    <t>847647D</t>
  </si>
  <si>
    <t xml:space="preserve"> 4A0210</t>
  </si>
  <si>
    <t>8490c19</t>
  </si>
  <si>
    <t>MYİ</t>
  </si>
  <si>
    <t>Pakistan</t>
  </si>
  <si>
    <t xml:space="preserve">Yemen </t>
  </si>
  <si>
    <t xml:space="preserve">Səudiyyə Ərəbistan </t>
  </si>
  <si>
    <t xml:space="preserve">Applied physics </t>
  </si>
  <si>
    <t>Introductory project</t>
  </si>
  <si>
    <t>Engineering mathematics I</t>
  </si>
  <si>
    <t>Technical English I</t>
  </si>
  <si>
    <t>Electrical Engineering I</t>
  </si>
  <si>
    <t>Fundamentals of programming I</t>
  </si>
  <si>
    <t>Engineering mathematics 2</t>
  </si>
  <si>
    <t>Technical English 2</t>
  </si>
  <si>
    <t>Electrical Engineering 2</t>
  </si>
  <si>
    <t>Fundamentals of programming 2</t>
  </si>
  <si>
    <t>Engineering Mechanics 1</t>
  </si>
  <si>
    <t xml:space="preserve">Electronics </t>
  </si>
  <si>
    <t>Azerbaijan History</t>
  </si>
  <si>
    <t xml:space="preserve">GPA </t>
  </si>
  <si>
    <t>Total</t>
  </si>
  <si>
    <t>Credit</t>
  </si>
  <si>
    <t>Tələbələrin Adı</t>
  </si>
  <si>
    <t>Bakı şəh., Nəsimi ray., 3-CÜ Alataya küç., özbaşına tikili, ev.129</t>
  </si>
  <si>
    <t>Bakı şəh., Qaradağ ray., Müşfiqabad qəsəb., Şamaxı yolu, ev 5Q, mənzil 34</t>
  </si>
  <si>
    <t>Bakı şəh., Yasamal ray., Mehman Bünyatzadə küç., ev 251, mənzil 44</t>
  </si>
  <si>
    <t>Bakı şəh., Sabuncu ray., Bakıxanov qəsəb., Leyla Məmmədbəyova küç., ev 60, mənzil 2</t>
  </si>
  <si>
    <t>Bakı şəh., Nizami ray., Bəhruz Nuriyev küç, ev 26, mənzil 64</t>
  </si>
  <si>
    <t>Lənkaran şəh., Dədə Qorqud küç., ev 5</t>
  </si>
  <si>
    <t>Şəki ray., Şəki şəh., Sarıtorpaq küç., ev 13</t>
  </si>
  <si>
    <t>Bakı şəh., Nəsimi ray., 2-ci Mikrorayon, Cavadxan küç, ev 58, mənzil 9</t>
  </si>
  <si>
    <t>Şəki ray., Şəki şəh., Mirzə Fətəli Axundov küç., ev 125</t>
  </si>
  <si>
    <t>Bakı şəh., Narimanov ray., Ceyhun Hajibeyli küç. məhəllə 761, mənzil 44</t>
  </si>
  <si>
    <t>Oğuz ray., Sincan Ə/D, Sincan kəndi</t>
  </si>
  <si>
    <t>Sumqayıt şəh., 1-Cİ məhəllə, ev 5, mənzil 31</t>
  </si>
  <si>
    <t>Tərtər ray., Qaradağlı Ə/D, Qaradağlı kəndi</t>
  </si>
  <si>
    <t>Bakı şəh., Suraxanı ray., Qaraçuxur qəsəbəsi, V.Quliyev küç. ev 12, mənzil 11</t>
  </si>
  <si>
    <t>Bakı şəh., Qaradağ ray., Lökbatan ray., Lökbatan Ə/D, 20 Yanvar küç., dalan 1, ev 3D</t>
  </si>
  <si>
    <t>Bakı şəh.,  Səbail ray., Əli Nizami küç, ev 1a</t>
  </si>
  <si>
    <t>Gəncə şəh., Nizami ray., Gülüstan massivi, ev 21, mənzil 19</t>
  </si>
  <si>
    <t>Qax ray., Qax şəh., Məmməd Əmin Rəsulzadə küç., ev 15</t>
  </si>
  <si>
    <t>Bakı şəh., Yasamal ray., Heydər Hüseynov küç.,  ev 1A, Giriş C, mənzil 147</t>
  </si>
  <si>
    <t>Şəmkir ray., Dəllər qəsəbəsi Ə/D, Dəllər kəndi</t>
  </si>
  <si>
    <t>Ucar ray., Qazyan Ə/D, Qazyan kəndi</t>
  </si>
  <si>
    <t>Masallı ray., Qarğalıq Ə/D, Qədirli kəndi</t>
  </si>
  <si>
    <t>Bakı şəh., Nərimanov ray., Həsənoğlu küç., ev 83A mənzil 13</t>
  </si>
  <si>
    <t>Abşeron rayonu, Xırdalan şəh., Həzi Aslanov küç. 11, mənzil 3</t>
  </si>
  <si>
    <t>Bakı şəhəri</t>
  </si>
  <si>
    <t>Şirvan şəhəri</t>
  </si>
  <si>
    <t>Lənkaran şəhəri</t>
  </si>
  <si>
    <t>Şəki şəhəri</t>
  </si>
  <si>
    <t>Qəbələ şəhəri</t>
  </si>
  <si>
    <t>Sumqayıt şəhəri</t>
  </si>
  <si>
    <t>Qax rayonu</t>
  </si>
  <si>
    <t>Gəncə şəhəri</t>
  </si>
  <si>
    <t>Bakı şəh., Badamdar, 2 massiv, 195 V</t>
  </si>
  <si>
    <t>Binəqədi rayonu, Rəsulzadə qəsəbəsi. İbrahım Sadıqlı küçəsi, ev 103</t>
  </si>
  <si>
    <t>ZU 642.23 E</t>
  </si>
  <si>
    <t xml:space="preserve">Mechatronic components </t>
  </si>
  <si>
    <t>GPA</t>
  </si>
  <si>
    <t>Allahverdi Yunis Araz</t>
  </si>
  <si>
    <t>Badamov Orxan Etibar</t>
  </si>
  <si>
    <t>Cəfərov Rəhim Salman</t>
  </si>
  <si>
    <t>Əhmədova Nərgiz Azadil</t>
  </si>
  <si>
    <t xml:space="preserve">Ələkbərli Sənan Tərlan </t>
  </si>
  <si>
    <t>Əsədov Xanlar Emil</t>
  </si>
  <si>
    <t>Fərhadlı Rəsul Qabil</t>
  </si>
  <si>
    <t>Hacıyev Emil Çingiz</t>
  </si>
  <si>
    <t>Hacızadə Polad Zamin</t>
  </si>
  <si>
    <t>Həsənli Rüstəm Emin</t>
  </si>
  <si>
    <t xml:space="preserve"> Firuz İlyai Müşviq</t>
  </si>
  <si>
    <t>Kərimova İnci Samir</t>
  </si>
  <si>
    <t xml:space="preserve">Məmmədli Səid Elşən </t>
  </si>
  <si>
    <t>Məmmədov İlkin Aydın</t>
  </si>
  <si>
    <t>Məşədibəyov Ağabəy Fəxri</t>
  </si>
  <si>
    <t>Mustafayev Orxan Mehdi</t>
  </si>
  <si>
    <t>Orucov Nurlan Sərhad</t>
  </si>
  <si>
    <t>Qasımova Pərvin Sənan</t>
  </si>
  <si>
    <t xml:space="preserve">Sayadlı Aydın Asif </t>
  </si>
  <si>
    <t>Zeynallı Məşədi İsmayıl</t>
  </si>
  <si>
    <t>Zülfiqarlı Rəvan Rəşad</t>
  </si>
  <si>
    <t>Zülfiqarov Nihad Ramin</t>
  </si>
  <si>
    <t>ZU 04.22</t>
  </si>
  <si>
    <t>Azerbaijan Language</t>
  </si>
  <si>
    <t>English 1</t>
  </si>
  <si>
    <t>Fundamentals of programming 1</t>
  </si>
  <si>
    <t xml:space="preserve">Engineering mathematics 1 </t>
  </si>
  <si>
    <t>Engineering mechanics 1</t>
  </si>
  <si>
    <t>Electrical Engineering 1</t>
  </si>
  <si>
    <t>Fundamentals of Programming 2</t>
  </si>
  <si>
    <t>Engineering mechanics 2</t>
  </si>
  <si>
    <t xml:space="preserve">Applied Physics </t>
  </si>
  <si>
    <t>Electronics</t>
  </si>
  <si>
    <t xml:space="preserve">Electrical engineering 2 </t>
  </si>
  <si>
    <t xml:space="preserve">Engineering mathematics 2 </t>
  </si>
  <si>
    <t xml:space="preserve">Technical English </t>
  </si>
  <si>
    <t>Azerbaijan history</t>
  </si>
  <si>
    <t>Control engineering 1</t>
  </si>
  <si>
    <t>Engineering mathematics 3</t>
  </si>
  <si>
    <t>Digital system</t>
  </si>
  <si>
    <t>Control Engineering 2</t>
  </si>
  <si>
    <t>Probability and Statistical methods</t>
  </si>
  <si>
    <t xml:space="preserve">Digital signal processing </t>
  </si>
  <si>
    <t xml:space="preserve">Microcomputer technology </t>
  </si>
  <si>
    <t xml:space="preserve">Electric drives and power electronics </t>
  </si>
  <si>
    <t>Modeling and simulation of dynamic systems</t>
  </si>
  <si>
    <t>Quality engineering</t>
  </si>
  <si>
    <t>Theory of strength and materials</t>
  </si>
  <si>
    <t>Manufacturing and service systems design project</t>
  </si>
  <si>
    <t>Production technology and processes</t>
  </si>
  <si>
    <t xml:space="preserve">Bachelor defence </t>
  </si>
  <si>
    <t>AbdulRahim Hikman</t>
  </si>
  <si>
    <t>abdulrahim.hikman@asoiu.edu.az</t>
  </si>
  <si>
    <t>B022402022</t>
  </si>
  <si>
    <t>Abdurəfiyev Cahandar Cahan</t>
  </si>
  <si>
    <t>abdurrafiyev.jahandar@asoiu.edu.az</t>
  </si>
  <si>
    <t>B081352022</t>
  </si>
  <si>
    <t>Allahverdiyev Rüfət Anar</t>
  </si>
  <si>
    <t>rufat.allahverdiyev@asoiu.edu.az</t>
  </si>
  <si>
    <t>B081402022</t>
  </si>
  <si>
    <t>Bağırzadə Teymur Rüfət</t>
  </si>
  <si>
    <t>bagirzada.teymur@asoiu.edu.az</t>
  </si>
  <si>
    <t>B081362022</t>
  </si>
  <si>
    <t>Cəfərov Qalib Asif</t>
  </si>
  <si>
    <t>jafarov.qalib@asoiu.edu.az</t>
  </si>
  <si>
    <t>B081452022</t>
  </si>
  <si>
    <t>Dünyamalıyev Nicat Rəşad</t>
  </si>
  <si>
    <t>nicat.dunyamaliyev@asoiu.edu.az</t>
  </si>
  <si>
    <t>B081462022</t>
  </si>
  <si>
    <t>Əhmədzadə Hüseyn İlham</t>
  </si>
  <si>
    <t>huseyn.ahmadzada@asoiu.edu.az</t>
  </si>
  <si>
    <t>B081342022</t>
  </si>
  <si>
    <t>Əliyev Murad Şahverdi</t>
  </si>
  <si>
    <t>murad.aliyev1@asoiu.edu.az</t>
  </si>
  <si>
    <t>B081522022</t>
  </si>
  <si>
    <t>Əliyeva Südabə Vəli</t>
  </si>
  <si>
    <t>sudaba.aliyeva@asoiu.edu.az</t>
  </si>
  <si>
    <t>B081422022</t>
  </si>
  <si>
    <t>Əmiraslanlı Nursan Qafqaz</t>
  </si>
  <si>
    <t>nursan.amiraslanli@asoiu.edu.az</t>
  </si>
  <si>
    <t>B081292022</t>
  </si>
  <si>
    <t>Əzizov Ziya Kənan</t>
  </si>
  <si>
    <t>azizov.ziya@asoiu.edu.az</t>
  </si>
  <si>
    <t>B081472022</t>
  </si>
  <si>
    <t>Hacıyeva Nurcan Vüqar</t>
  </si>
  <si>
    <t>hajiyeva.nurjab@asoiu.edu.az</t>
  </si>
  <si>
    <t>B081382022</t>
  </si>
  <si>
    <t>Həsənzadə Cahangir Faiq</t>
  </si>
  <si>
    <t>hasanzada.jahangir@asoiu.edu.az</t>
  </si>
  <si>
    <t>B081492022</t>
  </si>
  <si>
    <t>Hümmətli Aqşin Vüqar</t>
  </si>
  <si>
    <t>hummatli.agshin@asoiu.edu.az</t>
  </si>
  <si>
    <t>B081372022</t>
  </si>
  <si>
    <t>İsmayılzadə Rəvan Urman</t>
  </si>
  <si>
    <t>ravan.ismayilzada@asoiu.edu.az</t>
  </si>
  <si>
    <t>B081302022</t>
  </si>
  <si>
    <t>Kərimova Nənəxanım Coşqun</t>
  </si>
  <si>
    <t>karimova.nanaxanim@asoiu.edu.az</t>
  </si>
  <si>
    <t>B081442022</t>
  </si>
  <si>
    <t>Kuzahmədova Alsu Nailyevna</t>
  </si>
  <si>
    <t>kuzahmadova.alsu@asoiu.edu.az</t>
  </si>
  <si>
    <t>B081432022</t>
  </si>
  <si>
    <t>Mehdi Fəxri Elçin</t>
  </si>
  <si>
    <t>mehdi.fakhri@asoiu.edu.az</t>
  </si>
  <si>
    <t>B081332022</t>
  </si>
  <si>
    <t>Məmmədhəsənli Ləman Elşən</t>
  </si>
  <si>
    <t>mammadhasanli.laman@asoiu.edu.az</t>
  </si>
  <si>
    <t>B081322022</t>
  </si>
  <si>
    <t>Məmmədhəsənli Leyla Fikrət</t>
  </si>
  <si>
    <t>mammadhasanli.leyla@asoiu.edu.az</t>
  </si>
  <si>
    <t>B081312022</t>
  </si>
  <si>
    <t>Mirzəzadə Elvin İlqar</t>
  </si>
  <si>
    <t>mirzazada.elvin@asoiu.edu.az</t>
  </si>
  <si>
    <t>B081532022</t>
  </si>
  <si>
    <t>Rüstəmov Paşa Qiyas</t>
  </si>
  <si>
    <t>pasha.rustamov@asoiu.edu.az</t>
  </si>
  <si>
    <t>B081512022</t>
  </si>
  <si>
    <t>Şirinov Elnur Vidayət</t>
  </si>
  <si>
    <t>shirinov.elnur@asoiu.edu.az</t>
  </si>
  <si>
    <t>B081482022</t>
  </si>
  <si>
    <t>Vaseem Meriden</t>
  </si>
  <si>
    <t>vaseem.meriden@asoiu.edu.az</t>
  </si>
  <si>
    <t>B022492022</t>
  </si>
  <si>
    <t>Yahyayev Səxavət Seymur</t>
  </si>
  <si>
    <t>saxavat.yahyayev@asoiu.edu.az</t>
  </si>
  <si>
    <t>B081412022</t>
  </si>
  <si>
    <t xml:space="preserve"> AlBachan Yazan Munir </t>
  </si>
  <si>
    <t>yazanal.bachan@asoiu.edu.az</t>
  </si>
  <si>
    <t>B054922022</t>
  </si>
  <si>
    <t>Construction</t>
  </si>
  <si>
    <t>Flexible Manufacturing Systems (CAD/CAM)</t>
  </si>
  <si>
    <t>Fundamentals of thermodynamics</t>
  </si>
  <si>
    <t>Industrial image processing</t>
  </si>
  <si>
    <t>Fuzzy logic and control systems</t>
  </si>
  <si>
    <t>Automation technology</t>
  </si>
  <si>
    <t>Fundamental of business administration and entrepreneurship</t>
  </si>
  <si>
    <t>Robot electronics</t>
  </si>
  <si>
    <t>Robotics</t>
  </si>
  <si>
    <t>Digital factory technologies</t>
  </si>
  <si>
    <t>Practice</t>
  </si>
  <si>
    <t>Information technology</t>
  </si>
  <si>
    <t>Microcomputer technology</t>
  </si>
  <si>
    <t>Digital signal processing</t>
  </si>
  <si>
    <t>Digital systems</t>
  </si>
  <si>
    <t>Fundamental of business administration and enterpreneurship</t>
  </si>
  <si>
    <t>Electric drives and power electronics</t>
  </si>
  <si>
    <t>Probability and Statistical Methods</t>
  </si>
  <si>
    <t>Control engineering 2</t>
  </si>
  <si>
    <t>Control engineering I</t>
  </si>
  <si>
    <t>Applied physics</t>
  </si>
  <si>
    <t>Engineering mathematics III</t>
  </si>
  <si>
    <t>Fundamental of programming 2</t>
  </si>
  <si>
    <t>Electrical engineering 1</t>
  </si>
  <si>
    <t>Engineering mathematics 1</t>
  </si>
  <si>
    <t>Fundamental of programing 1</t>
  </si>
  <si>
    <t>Technical English 1</t>
  </si>
  <si>
    <t>Engineering Mechanics 2</t>
  </si>
  <si>
    <t>Mechatronic components</t>
  </si>
  <si>
    <t>Bakı şəh., Sabayil ray., Alıbəyov gardaslari 7</t>
  </si>
  <si>
    <t>642.23E</t>
  </si>
  <si>
    <t>Allahverdi</t>
  </si>
  <si>
    <t>Yunis</t>
  </si>
  <si>
    <t>Araz</t>
  </si>
  <si>
    <t>Badamov</t>
  </si>
  <si>
    <t>Orxan</t>
  </si>
  <si>
    <t>Etibar</t>
  </si>
  <si>
    <t>Salman</t>
  </si>
  <si>
    <t>Azadil</t>
  </si>
  <si>
    <t>Xanlar</t>
  </si>
  <si>
    <t>Emil</t>
  </si>
  <si>
    <t>Qabil</t>
  </si>
  <si>
    <t>Polad</t>
  </si>
  <si>
    <t>Zamin</t>
  </si>
  <si>
    <t>Emin</t>
  </si>
  <si>
    <t>Aydın</t>
  </si>
  <si>
    <t>Firuz</t>
  </si>
  <si>
    <t>İlyai</t>
  </si>
  <si>
    <t>Samir</t>
  </si>
  <si>
    <t>İlkin</t>
  </si>
  <si>
    <t>Mustafayev</t>
  </si>
  <si>
    <t>Mehdi</t>
  </si>
  <si>
    <t>Orucov</t>
  </si>
  <si>
    <t>Nurlan</t>
  </si>
  <si>
    <t>Pərvin</t>
  </si>
  <si>
    <t>Sayadlı</t>
  </si>
  <si>
    <t>Zeynallı</t>
  </si>
  <si>
    <t>Məşədi</t>
  </si>
  <si>
    <t>İsmayıl</t>
  </si>
  <si>
    <t>Rəşad</t>
  </si>
  <si>
    <t>Nihad</t>
  </si>
  <si>
    <t>Mushviq</t>
  </si>
  <si>
    <t>Cafarov</t>
  </si>
  <si>
    <t>Rahim</t>
  </si>
  <si>
    <t>Ahmadova</t>
  </si>
  <si>
    <t>Nargiz</t>
  </si>
  <si>
    <t>Alakbarli</t>
  </si>
  <si>
    <t>Sanan</t>
  </si>
  <si>
    <t>Tarlan</t>
  </si>
  <si>
    <t>Farhadli</t>
  </si>
  <si>
    <t>Rasul</t>
  </si>
  <si>
    <t>Hajiyev</t>
  </si>
  <si>
    <t>Hajizada</t>
  </si>
  <si>
    <t>Rustam</t>
  </si>
  <si>
    <t>Karimova</t>
  </si>
  <si>
    <t>İnji</t>
  </si>
  <si>
    <t>Elshan</t>
  </si>
  <si>
    <t>Mammadov</t>
  </si>
  <si>
    <t>Mashadibayov</t>
  </si>
  <si>
    <t>Agabey</t>
  </si>
  <si>
    <t>Fakhri</t>
  </si>
  <si>
    <t>Qasimova</t>
  </si>
  <si>
    <t>Zulfiqarli</t>
  </si>
  <si>
    <t>Zulfiqarov</t>
  </si>
  <si>
    <t>Rashad</t>
  </si>
  <si>
    <t>Ravan</t>
  </si>
  <si>
    <t>Sarhad</t>
  </si>
  <si>
    <t>7RP7E0S</t>
  </si>
  <si>
    <t>7VTMD55</t>
  </si>
  <si>
    <t>7QMT53Q</t>
  </si>
  <si>
    <t>7J5T7BG</t>
  </si>
  <si>
    <t>6W7NEAD</t>
  </si>
  <si>
    <t>884Q337</t>
  </si>
  <si>
    <t>7MBYBUN</t>
  </si>
  <si>
    <t>7K9069D</t>
  </si>
  <si>
    <t>64AB8ZP</t>
  </si>
  <si>
    <t>7AKQ2D6</t>
  </si>
  <si>
    <t>6X0RLX4</t>
  </si>
  <si>
    <t>52WMJQE</t>
  </si>
  <si>
    <t>7VETN4D</t>
  </si>
  <si>
    <t>6KN79JH</t>
  </si>
  <si>
    <t>6WNQX71</t>
  </si>
  <si>
    <t>7G88LMH</t>
  </si>
  <si>
    <t>7RQTHT0</t>
  </si>
  <si>
    <t>6P4UY49</t>
  </si>
  <si>
    <t>7U904XU</t>
  </si>
  <si>
    <t>7UNLMWA</t>
  </si>
  <si>
    <t>6320SJZ</t>
  </si>
  <si>
    <t>7X8PRRU</t>
  </si>
  <si>
    <t>Bakı şəh., Suraxanı ray., Qaraçuxur qəs. Əhməd mehbalıyev küç., mənzil 30</t>
  </si>
  <si>
    <t>07.07.2006</t>
  </si>
  <si>
    <t>24.09.2006</t>
  </si>
  <si>
    <t>11.03.2006</t>
  </si>
  <si>
    <t>16.11.2006</t>
  </si>
  <si>
    <t>02.09.2006</t>
  </si>
  <si>
    <t>03.10.2006</t>
  </si>
  <si>
    <t>06.12.2005</t>
  </si>
  <si>
    <t>12.12.2005</t>
  </si>
  <si>
    <t>28.06.2006</t>
  </si>
  <si>
    <t>26.06.2005</t>
  </si>
  <si>
    <t>12.03.2006</t>
  </si>
  <si>
    <t>16.09.2005</t>
  </si>
  <si>
    <t>16.12.2005</t>
  </si>
  <si>
    <t>13.06.2006</t>
  </si>
  <si>
    <t>01.04.2006</t>
  </si>
  <si>
    <t>14.05.2006</t>
  </si>
  <si>
    <t>01.03.2006</t>
  </si>
  <si>
    <t>28.12.2005</t>
  </si>
  <si>
    <t>05.03.2006</t>
  </si>
  <si>
    <t>11.06.2006</t>
  </si>
  <si>
    <t>26.01.2006</t>
  </si>
  <si>
    <t>yunis.allahverdi@asoiu.edu.az</t>
  </si>
  <si>
    <t>orxan.badamov@asoiu.edu.az</t>
  </si>
  <si>
    <t>rahim.jafarov@asoiu.edu.az</t>
  </si>
  <si>
    <t>nargiz.ehmedova@asoiu.edu.az</t>
  </si>
  <si>
    <t>sanan.alakbarli@asoiu.edu.az</t>
  </si>
  <si>
    <t>xanlar.asadov@asoiu.edu.az</t>
  </si>
  <si>
    <t>rasul.farhadli@asoiu.edu.az</t>
  </si>
  <si>
    <t>emil.haciyev@asoiu.edu.az</t>
  </si>
  <si>
    <t>polad.hacizada@asoiu.edu.az</t>
  </si>
  <si>
    <t>rustem.hasanli@asoiu.edu.az</t>
  </si>
  <si>
    <t>firuz.ilyas@asoiu.edu.az</t>
  </si>
  <si>
    <t>inci.karimova@asoiu.edu.az</t>
  </si>
  <si>
    <t>seid.mammadli@asoiu.edu.az</t>
  </si>
  <si>
    <t>ilkin.memmedov@asoiu.edu.az</t>
  </si>
  <si>
    <t>agabey.meshedibeyov@asoiu.edu.az</t>
  </si>
  <si>
    <t>orxan.mustafayev@asoiu.edu.az</t>
  </si>
  <si>
    <t>nurlan.orucov@asoiu.edu.az</t>
  </si>
  <si>
    <t>parvin.qasimova@asoiu.edu.az</t>
  </si>
  <si>
    <t>aydin.sayadli@asoiu.edu.az</t>
  </si>
  <si>
    <t>mashadi.zeynalii@asoiu.edu.az</t>
  </si>
  <si>
    <t>ravan.zulfigarli@asoiu.edu.az</t>
  </si>
  <si>
    <t>nihad.zulfiqarov@asoiu.edu.az</t>
  </si>
  <si>
    <t>994 55 317 17 74</t>
  </si>
  <si>
    <t>994 55 513 18 76</t>
  </si>
  <si>
    <t>994 77 636 08 00</t>
  </si>
  <si>
    <t>994 55 809 91 24</t>
  </si>
  <si>
    <t>994 51 545 06 69</t>
  </si>
  <si>
    <t>994 55 292 98 50</t>
  </si>
  <si>
    <t>994 55 791 17 91</t>
  </si>
  <si>
    <t>994 77 633 45 00</t>
  </si>
  <si>
    <t>994 70 434 23 44</t>
  </si>
  <si>
    <t>994 77 380 56 66</t>
  </si>
  <si>
    <t>994 51 623 13 30</t>
  </si>
  <si>
    <t>994 70 338 36 72</t>
  </si>
  <si>
    <t>994 55 563 03 72</t>
  </si>
  <si>
    <t>994 55 518 08 13</t>
  </si>
  <si>
    <t>994 55 777 91 33</t>
  </si>
  <si>
    <t>994 70 333 52 20</t>
  </si>
  <si>
    <t>994 50 643 12 65</t>
  </si>
  <si>
    <t>994 77 318 21 44</t>
  </si>
  <si>
    <t>994 77 321 54 80</t>
  </si>
  <si>
    <t>994 70 205 11 41</t>
  </si>
  <si>
    <t>B080282023</t>
  </si>
  <si>
    <t>B080292023</t>
  </si>
  <si>
    <t>B080302023</t>
  </si>
  <si>
    <t>B080312023</t>
  </si>
  <si>
    <t>B080322023</t>
  </si>
  <si>
    <t>B080332023</t>
  </si>
  <si>
    <t>B080342023</t>
  </si>
  <si>
    <t>B080352023</t>
  </si>
  <si>
    <t>B080362023</t>
  </si>
  <si>
    <t>B080372023</t>
  </si>
  <si>
    <t>B080382023</t>
  </si>
  <si>
    <t>B080392023</t>
  </si>
  <si>
    <t>B080402023</t>
  </si>
  <si>
    <t>B080412023</t>
  </si>
  <si>
    <t>B080422023</t>
  </si>
  <si>
    <t>B080432023</t>
  </si>
  <si>
    <t>B080442023</t>
  </si>
  <si>
    <t>B080452023</t>
  </si>
  <si>
    <t>B080472023</t>
  </si>
  <si>
    <t>B080482023</t>
  </si>
  <si>
    <t>B080492023</t>
  </si>
  <si>
    <t>B080502023</t>
  </si>
  <si>
    <t>Bakı şəh., Narimanov ray., C.Hacibeyli küç., 761-ci məhəllə, mənzil 53</t>
  </si>
  <si>
    <t>AA</t>
  </si>
  <si>
    <t>Bakı şəh., Qaradag ray., Muşiqabad qəsəbəsi</t>
  </si>
  <si>
    <t>ZU-04.22</t>
  </si>
  <si>
    <t xml:space="preserve">Abdul </t>
  </si>
  <si>
    <t xml:space="preserve"> Rahim </t>
  </si>
  <si>
    <t>Hikman</t>
  </si>
  <si>
    <t xml:space="preserve">Abdurəfiyev </t>
  </si>
  <si>
    <t xml:space="preserve">Cahandar </t>
  </si>
  <si>
    <t>Cahan</t>
  </si>
  <si>
    <t xml:space="preserve">Allahverdiyev </t>
  </si>
  <si>
    <t xml:space="preserve"> Rüfət </t>
  </si>
  <si>
    <t xml:space="preserve">Bağırzadə </t>
  </si>
  <si>
    <t xml:space="preserve"> Teymur </t>
  </si>
  <si>
    <t xml:space="preserve"> Rüfət</t>
  </si>
  <si>
    <t xml:space="preserve">Cəfərov </t>
  </si>
  <si>
    <t xml:space="preserve"> Qalib </t>
  </si>
  <si>
    <t xml:space="preserve">Dünyamalıyev </t>
  </si>
  <si>
    <t xml:space="preserve">Nicat </t>
  </si>
  <si>
    <t xml:space="preserve">Əhmədzadə </t>
  </si>
  <si>
    <t xml:space="preserve">Hüseyn </t>
  </si>
  <si>
    <t xml:space="preserve"> İlham</t>
  </si>
  <si>
    <t xml:space="preserve">Əliyev </t>
  </si>
  <si>
    <t xml:space="preserve"> Murad </t>
  </si>
  <si>
    <t xml:space="preserve"> Şahverdi</t>
  </si>
  <si>
    <t xml:space="preserve">Əliyeva </t>
  </si>
  <si>
    <t xml:space="preserve">Südabə </t>
  </si>
  <si>
    <t xml:space="preserve"> Vəli</t>
  </si>
  <si>
    <t xml:space="preserve">Əmiraslanlı </t>
  </si>
  <si>
    <t xml:space="preserve">Nursan </t>
  </si>
  <si>
    <t xml:space="preserve"> Qafqaz</t>
  </si>
  <si>
    <t xml:space="preserve">Əzizov </t>
  </si>
  <si>
    <t xml:space="preserve">Ziya </t>
  </si>
  <si>
    <t>Kənan</t>
  </si>
  <si>
    <t xml:space="preserve">Hacıyeva </t>
  </si>
  <si>
    <t xml:space="preserve"> Nurcan </t>
  </si>
  <si>
    <t xml:space="preserve"> Vüqar</t>
  </si>
  <si>
    <t xml:space="preserve">Həsənzadə </t>
  </si>
  <si>
    <t xml:space="preserve"> Cahangir </t>
  </si>
  <si>
    <t>Faiq</t>
  </si>
  <si>
    <t xml:space="preserve">Hümmətli </t>
  </si>
  <si>
    <t xml:space="preserve">Aqşin </t>
  </si>
  <si>
    <t>Vüqar</t>
  </si>
  <si>
    <t xml:space="preserve">İsmayılzadə </t>
  </si>
  <si>
    <t xml:space="preserve"> Rəvan </t>
  </si>
  <si>
    <t xml:space="preserve"> Urman</t>
  </si>
  <si>
    <t xml:space="preserve">Kərimova </t>
  </si>
  <si>
    <t xml:space="preserve"> Nənəxanım </t>
  </si>
  <si>
    <t>Coşqun</t>
  </si>
  <si>
    <t xml:space="preserve">Kuzahmədova </t>
  </si>
  <si>
    <t xml:space="preserve"> Alsu </t>
  </si>
  <si>
    <t xml:space="preserve"> Nailyevna</t>
  </si>
  <si>
    <t xml:space="preserve">Mehdi </t>
  </si>
  <si>
    <t xml:space="preserve">Fəxri </t>
  </si>
  <si>
    <t xml:space="preserve"> Elçin</t>
  </si>
  <si>
    <t xml:space="preserve">Məmmədhəsənli </t>
  </si>
  <si>
    <t>Ləman</t>
  </si>
  <si>
    <t xml:space="preserve"> Elşən</t>
  </si>
  <si>
    <t xml:space="preserve"> Leyla </t>
  </si>
  <si>
    <t xml:space="preserve"> Fikrət</t>
  </si>
  <si>
    <t xml:space="preserve">Mirzəzadə </t>
  </si>
  <si>
    <t xml:space="preserve"> Elvin </t>
  </si>
  <si>
    <t xml:space="preserve"> İlqar</t>
  </si>
  <si>
    <t xml:space="preserve">Rüstəmov </t>
  </si>
  <si>
    <t xml:space="preserve"> Paşa </t>
  </si>
  <si>
    <t xml:space="preserve"> Qiyas</t>
  </si>
  <si>
    <t xml:space="preserve">Şirinov </t>
  </si>
  <si>
    <t xml:space="preserve"> Elnur </t>
  </si>
  <si>
    <t xml:space="preserve"> Vidayət</t>
  </si>
  <si>
    <t xml:space="preserve">Vaseem </t>
  </si>
  <si>
    <t xml:space="preserve"> Meriden</t>
  </si>
  <si>
    <t xml:space="preserve">Yahyayev </t>
  </si>
  <si>
    <t xml:space="preserve"> Səxavət</t>
  </si>
  <si>
    <t xml:space="preserve"> Seymur</t>
  </si>
  <si>
    <t xml:space="preserve">Yazan </t>
  </si>
  <si>
    <t xml:space="preserve"> Munir </t>
  </si>
  <si>
    <t xml:space="preserve"> Al Bacha</t>
  </si>
  <si>
    <t>Pakistan İslam Respublikası</t>
  </si>
  <si>
    <t>Suriya Ərəb Respublikası</t>
  </si>
  <si>
    <t>Saudiyyə Ərabistan Krallıgı</t>
  </si>
  <si>
    <t>Moskva şəhəri</t>
  </si>
  <si>
    <t>Peşavar şəhəri</t>
  </si>
  <si>
    <t xml:space="preserve">Mohammed  </t>
  </si>
  <si>
    <t>1.24.2003</t>
  </si>
  <si>
    <t>5.25.2004</t>
  </si>
  <si>
    <t>8.30.2005</t>
  </si>
  <si>
    <t>4.4.2005</t>
  </si>
  <si>
    <t>7.11.2004</t>
  </si>
  <si>
    <t>9.20.2005</t>
  </si>
  <si>
    <t>8.19.2005</t>
  </si>
  <si>
    <t>9.24.2005</t>
  </si>
  <si>
    <t>3.3.2005</t>
  </si>
  <si>
    <t>8.24.2005</t>
  </si>
  <si>
    <t>9.29.2005</t>
  </si>
  <si>
    <t>9.22.2005</t>
  </si>
  <si>
    <t>8.17.2004</t>
  </si>
  <si>
    <t>3.7.2005</t>
  </si>
  <si>
    <t>11.3.2004</t>
  </si>
  <si>
    <t>8418FD2</t>
  </si>
  <si>
    <t>7DCDJ6R</t>
  </si>
  <si>
    <t>7GPAJZG</t>
  </si>
  <si>
    <t>7DPZC66</t>
  </si>
  <si>
    <t>7JDSEVS</t>
  </si>
  <si>
    <t>7TWT77L</t>
  </si>
  <si>
    <t>6WMQ0NT</t>
  </si>
  <si>
    <t>6XPN6UE</t>
  </si>
  <si>
    <t>5SNPSCE</t>
  </si>
  <si>
    <t>7Q1SY3S</t>
  </si>
  <si>
    <t>7QVQYH4</t>
  </si>
  <si>
    <t>8BM8M7B</t>
  </si>
  <si>
    <t>6XVANYY</t>
  </si>
  <si>
    <t>8DMUDVK</t>
  </si>
  <si>
    <t>5XGUWX2</t>
  </si>
  <si>
    <t>87TJCQU</t>
  </si>
  <si>
    <t>7T8UF2M</t>
  </si>
  <si>
    <t>6X392PV</t>
  </si>
  <si>
    <t>7TX72N6</t>
  </si>
  <si>
    <t>7EMJUZG</t>
  </si>
  <si>
    <t>7EM9J0P</t>
  </si>
  <si>
    <t>7LSA67V</t>
  </si>
  <si>
    <t>7KXJXLE</t>
  </si>
  <si>
    <t>7413C68</t>
  </si>
  <si>
    <t>87TKX4U</t>
  </si>
  <si>
    <t>3F725</t>
  </si>
  <si>
    <t>Naxcıvan MR</t>
  </si>
  <si>
    <t>Göyğül şəhəri</t>
  </si>
  <si>
    <t>Quba şəhəri</t>
  </si>
  <si>
    <t>Damascus</t>
  </si>
  <si>
    <t>Taif</t>
  </si>
  <si>
    <t xml:space="preserve">Qəbələ </t>
  </si>
  <si>
    <t>Xırdalan şəhəri</t>
  </si>
  <si>
    <t>994 50 381 59 66</t>
  </si>
  <si>
    <t>994 50 338 24 98</t>
  </si>
  <si>
    <t>994 55 963 84 04</t>
  </si>
  <si>
    <t>994 50 398 32 47</t>
  </si>
  <si>
    <t>994 50 887 11 24</t>
  </si>
  <si>
    <t>994 70 207 61 51</t>
  </si>
  <si>
    <t>994 1 303 55 45</t>
  </si>
  <si>
    <t>994 77 217 23 58</t>
  </si>
  <si>
    <t>994 55 683 07 13</t>
  </si>
  <si>
    <t>994 51 604 64 45</t>
  </si>
  <si>
    <t>994 50 866 18 45</t>
  </si>
  <si>
    <t>994 50 275 31 01</t>
  </si>
  <si>
    <t>994 70 886 38 48</t>
  </si>
  <si>
    <t>994 55 588 35 54</t>
  </si>
  <si>
    <t>994 55 884 82 54</t>
  </si>
  <si>
    <t>994 55 903 94 89</t>
  </si>
  <si>
    <t>994 997 88 16 60</t>
  </si>
  <si>
    <t>994 51 928 69 39</t>
  </si>
  <si>
    <t>994 70 247 43 36</t>
  </si>
  <si>
    <t>994 55 425 02 88</t>
  </si>
  <si>
    <t>994 50 800 14 23</t>
  </si>
  <si>
    <t>994 55 779 47 36</t>
  </si>
  <si>
    <t>994 70 676 60 63</t>
  </si>
  <si>
    <t>994 50 398 22 76</t>
  </si>
  <si>
    <t>994 51 201 13 11</t>
  </si>
  <si>
    <t>994 50 723 83 21</t>
  </si>
  <si>
    <t>Sumqayıt şəh., MİDA bulvar</t>
  </si>
  <si>
    <t>Sumqayit şəh., 17-ci mikrorayon, bina 18, mənzil 24</t>
  </si>
  <si>
    <t>Bakı şəh., Yeni Günəşli qəsəbəsi</t>
  </si>
  <si>
    <t>Bakı şəh., Yasamal ray., Şəhriyar küç., mənzil 52</t>
  </si>
  <si>
    <t>Gəncə şəh., X. Rəfibəyli küç</t>
  </si>
  <si>
    <t>Bakı şəh., Mirzəbala Əhmədzadə 5/7</t>
  </si>
  <si>
    <t>Bakı şəh., Xətai rayonu , Mirhəsənağa küç. ev 51</t>
  </si>
  <si>
    <t>Sumqayıt şəh., Corat baglari, Şahdağ küç.</t>
  </si>
  <si>
    <t>Abşeron ray., Pirəkəşkül qəsəbəsi, bina 99, mənzil 22</t>
  </si>
  <si>
    <t>Bakı şəh., Mehdiabad qəsəbəsi, 21ci küçə</t>
  </si>
  <si>
    <t>Saray qəsəbə, N. Zeynalova küç 56</t>
  </si>
  <si>
    <t>Bakı şəh., Səbail ray., Bayıl qəsəbəsi, Cənub dərə 34</t>
  </si>
  <si>
    <t>Bakı şəh., Xətai ray., Cavanşir küç. 19 F</t>
  </si>
  <si>
    <t>Bakı şəh., N. Nərimanov Aga Neymetula küç. 20</t>
  </si>
  <si>
    <t>Zirə qəsəbəsi, Ağamalıoğlu küç. 17b</t>
  </si>
  <si>
    <t>Novxani kəndi, H.Z. Tağıyev küç.,  ev 51</t>
  </si>
  <si>
    <t>Bakı şəh., Yasamal rayonu, H.Cavid prospekti 556/57-ci kvartal bina V mənzil 13</t>
  </si>
  <si>
    <t>Bakı şəh., Nəsimi ray., Suleyman Rüstəm 35 B , mənzil 119</t>
  </si>
  <si>
    <t>Bakı şəh., Sabuncu qəsəbəsi,  Zabrat 1 rayonu, Tramvay küç.,  ev 14</t>
  </si>
  <si>
    <t>Bakı şəh., Xəzər ray., Şüvəlan qəsəbəsi, Bağ sahəsi, ev 862 A</t>
  </si>
  <si>
    <t>Sumqayıt şəh., 4 cü məhəllə , ev 14/33 mənzil 1</t>
  </si>
  <si>
    <t>Bakı şəh.,Yasamal ray., Həsən bəy Zərdabi</t>
  </si>
  <si>
    <t>Bakı şəh., Binəqədi ray., Əcəmi Naxçıvanə 159, mənzil 97</t>
  </si>
  <si>
    <t>Bakı şəh., N.Nərimanov ray. Əliyar Əliyev 30S</t>
  </si>
  <si>
    <t>Sumqayıt şəh., 42 ci məhəllə</t>
  </si>
  <si>
    <t>Bakı şəh., Xətai ray., İlqar Zülfüqarov küç. 29/42A</t>
  </si>
  <si>
    <t>Bakı şəh., Sabunçu ray., Sovxoz Ramana qəsəbəsi, Seyfəddin dağlı küç., 3-cü döngə, ev 10</t>
  </si>
  <si>
    <t>Bakı şəh., Nizami ray., Q. Qarayev orospekti, ev 116, mənzil 45</t>
  </si>
  <si>
    <t>Bakı şəh., Binəqədi ray., Yahya Hüseynov 108, mənzil 2a</t>
  </si>
  <si>
    <t>Bakı şəh., Pirallahi ray., Süleyman Bağırov küç., ev 1, mənzil15</t>
  </si>
  <si>
    <t>Gəncə şəh., Kəpəz ray., 4-cü Mikrorayon, ev 21, mənzil 12</t>
  </si>
  <si>
    <t>Sumqayit şəh., 9 mkr bina 7/25 mən 32</t>
  </si>
  <si>
    <t>Bakı şəh., Səbail ray., Bayil qəsəbəsi</t>
  </si>
  <si>
    <t>Bakı şəh., Ceyhun Hacıbəyli 24</t>
  </si>
  <si>
    <t>Xırdalan şəh., 28-ci məhəllə bina 7</t>
  </si>
  <si>
    <t>Bakı şəh., Həsən Əliyev küç, 41</t>
  </si>
  <si>
    <t>Bakı şəh., Qaradağ ray., Müşfiq qəsəbəsi, YYM-2, küç. 3, ev 39</t>
  </si>
  <si>
    <t>Bakı şəh., Sabunçu ray., Zabrat qəsəbəsi</t>
  </si>
  <si>
    <t>995 55 283 95 33</t>
  </si>
  <si>
    <t>996 70 276 91 90</t>
  </si>
  <si>
    <t>Abseron ray, Novxani K 28 May küç., 49</t>
  </si>
  <si>
    <t>Bakı şəh., Nizami ray., Cəmid Naxçıvansli küç.,  ev 81A, mən. 340</t>
  </si>
  <si>
    <t>Bakı şəh., Nəsimi ray., Dilarə Əliyeva küç. , ev 247, mən. 59</t>
  </si>
  <si>
    <t>Bakı şəh., Nizami ray., Q. Qarayev prospekti,ev 51/57, mən. 71</t>
  </si>
  <si>
    <t>Naxçıvan MR, Naxçıvan  şəh., İ. Əbilov küç., ev 28, mən. 2</t>
  </si>
  <si>
    <t>Bakı şəh., Pirallahi ray., K.Rzayev küç., ev 24, mən. 19</t>
  </si>
  <si>
    <t>Bakı şəh., Xətai ray., ev 7V, mən. 26</t>
  </si>
  <si>
    <t>Bakı şəh., Xətai ray., Tusi küç, ev 23, mənzil 71</t>
  </si>
  <si>
    <t xml:space="preserve">Bakı şəh.,Yasamal ray., Şəhriyar küç., 6 blok , ev 53 </t>
  </si>
  <si>
    <t>Bakı şəh., Nərimanov ray., Möhsün Sənani küç., 100, M16,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</si>
</sst>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;@"/>
    <numFmt numFmtId="165" formatCode="mm/dd/yy;@"/>
    <numFmt numFmtId="166" formatCode="00##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indexed="10"/>
      <name val="Times New Roman"/>
      <family val="1"/>
      <charset val="204"/>
    </font>
    <font>
      <sz val="11"/>
      <color rgb="FF0A0A0A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u/>
      <sz val="11"/>
      <color theme="1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textRotation="90"/>
    </xf>
    <xf numFmtId="0" fontId="1" fillId="0" borderId="7" xfId="0" applyFont="1" applyBorder="1" applyAlignment="1">
      <alignment horizontal="center" textRotation="90"/>
    </xf>
    <xf numFmtId="0" fontId="1" fillId="0" borderId="8" xfId="0" applyFont="1" applyBorder="1" applyAlignment="1">
      <alignment horizontal="center" textRotation="90"/>
    </xf>
    <xf numFmtId="0" fontId="1" fillId="0" borderId="9" xfId="0" applyFont="1" applyBorder="1" applyAlignment="1">
      <alignment horizontal="center" textRotation="90"/>
    </xf>
    <xf numFmtId="0" fontId="1" fillId="0" borderId="10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/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3" fillId="0" borderId="0" xfId="0" applyFont="1" applyFill="1"/>
    <xf numFmtId="0" fontId="3" fillId="0" borderId="12" xfId="0" applyFont="1" applyFill="1" applyBorder="1" applyAlignment="1">
      <alignment horizontal="center" textRotation="90"/>
    </xf>
    <xf numFmtId="0" fontId="3" fillId="0" borderId="4" xfId="0" applyFont="1" applyFill="1" applyBorder="1" applyAlignment="1">
      <alignment horizontal="center" textRotation="90"/>
    </xf>
    <xf numFmtId="0" fontId="2" fillId="0" borderId="5" xfId="0" applyFont="1" applyBorder="1" applyAlignment="1">
      <alignment vertical="center" wrapText="1"/>
    </xf>
    <xf numFmtId="0" fontId="1" fillId="3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0" fontId="3" fillId="0" borderId="6" xfId="0" applyFont="1" applyFill="1" applyBorder="1"/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textRotation="90"/>
    </xf>
    <xf numFmtId="0" fontId="1" fillId="0" borderId="14" xfId="0" applyFont="1" applyBorder="1" applyAlignment="1">
      <alignment horizontal="center" textRotation="90"/>
    </xf>
    <xf numFmtId="0" fontId="1" fillId="0" borderId="0" xfId="0" applyFont="1" applyBorder="1" applyAlignment="1">
      <alignment horizontal="center" textRotation="90"/>
    </xf>
    <xf numFmtId="0" fontId="1" fillId="0" borderId="15" xfId="0" applyFont="1" applyBorder="1" applyAlignment="1">
      <alignment horizontal="center" textRotation="90"/>
    </xf>
    <xf numFmtId="0" fontId="3" fillId="0" borderId="0" xfId="0" applyFont="1" applyAlignment="1">
      <alignment horizontal="right" textRotation="90"/>
    </xf>
    <xf numFmtId="0" fontId="3" fillId="0" borderId="0" xfId="0" applyFont="1" applyAlignment="1">
      <alignment textRotation="90"/>
    </xf>
    <xf numFmtId="0" fontId="3" fillId="0" borderId="9" xfId="0" applyFont="1" applyFill="1" applyBorder="1"/>
    <xf numFmtId="0" fontId="3" fillId="0" borderId="7" xfId="0" applyFont="1" applyFill="1" applyBorder="1"/>
    <xf numFmtId="0" fontId="1" fillId="0" borderId="13" xfId="0" applyFont="1" applyFill="1" applyBorder="1"/>
    <xf numFmtId="0" fontId="1" fillId="0" borderId="1" xfId="0" applyFont="1" applyFill="1" applyBorder="1"/>
    <xf numFmtId="0" fontId="1" fillId="0" borderId="1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0" xfId="0" applyFont="1" applyFill="1"/>
    <xf numFmtId="0" fontId="1" fillId="0" borderId="1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4" fillId="0" borderId="0" xfId="0" applyFont="1"/>
    <xf numFmtId="0" fontId="6" fillId="5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textRotation="90" wrapText="1"/>
    </xf>
    <xf numFmtId="0" fontId="7" fillId="0" borderId="7" xfId="0" applyFont="1" applyBorder="1" applyAlignment="1">
      <alignment horizontal="center" textRotation="90"/>
    </xf>
    <xf numFmtId="0" fontId="4" fillId="0" borderId="7" xfId="0" applyFont="1" applyBorder="1" applyAlignment="1">
      <alignment textRotation="90"/>
    </xf>
    <xf numFmtId="0" fontId="7" fillId="0" borderId="13" xfId="0" applyFont="1" applyBorder="1" applyAlignment="1">
      <alignment textRotation="90"/>
    </xf>
    <xf numFmtId="0" fontId="7" fillId="0" borderId="19" xfId="0" applyFont="1" applyBorder="1" applyAlignment="1">
      <alignment textRotation="90"/>
    </xf>
    <xf numFmtId="0" fontId="7" fillId="0" borderId="20" xfId="0" applyFont="1" applyBorder="1" applyAlignment="1">
      <alignment textRotation="90"/>
    </xf>
    <xf numFmtId="0" fontId="7" fillId="0" borderId="22" xfId="0" applyFont="1" applyBorder="1" applyAlignment="1">
      <alignment textRotation="90"/>
    </xf>
    <xf numFmtId="0" fontId="7" fillId="0" borderId="23" xfId="0" applyFont="1" applyBorder="1" applyAlignment="1">
      <alignment textRotation="90"/>
    </xf>
    <xf numFmtId="0" fontId="7" fillId="0" borderId="21" xfId="0" applyFont="1" applyBorder="1" applyAlignment="1">
      <alignment textRotation="90"/>
    </xf>
    <xf numFmtId="0" fontId="7" fillId="0" borderId="6" xfId="0" applyFont="1" applyBorder="1" applyAlignment="1">
      <alignment textRotation="90"/>
    </xf>
    <xf numFmtId="0" fontId="7" fillId="0" borderId="7" xfId="0" applyFont="1" applyBorder="1" applyAlignment="1">
      <alignment textRotation="90"/>
    </xf>
    <xf numFmtId="0" fontId="7" fillId="0" borderId="14" xfId="0" applyFont="1" applyBorder="1" applyAlignment="1">
      <alignment textRotation="90"/>
    </xf>
    <xf numFmtId="0" fontId="7" fillId="0" borderId="15" xfId="0" applyFont="1" applyBorder="1" applyAlignment="1">
      <alignment textRotation="90"/>
    </xf>
    <xf numFmtId="0" fontId="5" fillId="0" borderId="0" xfId="0" applyFont="1" applyAlignment="1">
      <alignment textRotation="90" wrapText="1"/>
    </xf>
    <xf numFmtId="0" fontId="5" fillId="5" borderId="1" xfId="0" applyFont="1" applyFill="1" applyBorder="1"/>
    <xf numFmtId="0" fontId="5" fillId="5" borderId="0" xfId="0" applyFont="1" applyFill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4" fillId="5" borderId="0" xfId="0" applyFont="1" applyFill="1"/>
    <xf numFmtId="0" fontId="4" fillId="0" borderId="0" xfId="0" applyFont="1" applyFill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/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 wrapText="1"/>
    </xf>
    <xf numFmtId="0" fontId="9" fillId="0" borderId="25" xfId="0" applyFont="1" applyBorder="1"/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/>
    </xf>
    <xf numFmtId="0" fontId="9" fillId="0" borderId="29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30" xfId="0" applyFont="1" applyBorder="1" applyAlignment="1">
      <alignment horizontal="center"/>
    </xf>
    <xf numFmtId="0" fontId="9" fillId="0" borderId="31" xfId="0" applyFont="1" applyBorder="1"/>
    <xf numFmtId="0" fontId="9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9" fillId="0" borderId="32" xfId="0" applyFont="1" applyBorder="1"/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33" xfId="0" applyFont="1" applyBorder="1"/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/>
    </xf>
    <xf numFmtId="166" fontId="9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/>
    </xf>
    <xf numFmtId="165" fontId="9" fillId="0" borderId="1" xfId="0" applyNumberFormat="1" applyFont="1" applyFill="1" applyBorder="1" applyAlignment="1">
      <alignment horizontal="center"/>
    </xf>
    <xf numFmtId="0" fontId="11" fillId="0" borderId="2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/>
    <xf numFmtId="0" fontId="9" fillId="0" borderId="0" xfId="0" applyFont="1" applyFill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13" fillId="0" borderId="0" xfId="1" applyFont="1" applyFill="1" applyAlignment="1">
      <alignment horizontal="center" vertical="center"/>
    </xf>
    <xf numFmtId="0" fontId="9" fillId="0" borderId="0" xfId="0" applyFont="1" applyFill="1" applyBorder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topLeftCell="I55" zoomScale="87" zoomScaleNormal="87" workbookViewId="0">
      <selection activeCell="Q85" sqref="Q85"/>
    </sheetView>
  </sheetViews>
  <sheetFormatPr defaultColWidth="9.140625" defaultRowHeight="15" x14ac:dyDescent="0.25"/>
  <cols>
    <col min="1" max="1" width="4.7109375" style="157" customWidth="1"/>
    <col min="2" max="2" width="23.28515625" style="157" customWidth="1"/>
    <col min="3" max="3" width="14.140625" style="157" customWidth="1"/>
    <col min="4" max="4" width="13.28515625" style="157" customWidth="1"/>
    <col min="5" max="5" width="32.28515625" style="157" bestFit="1" customWidth="1"/>
    <col min="6" max="6" width="31" style="157" customWidth="1"/>
    <col min="7" max="8" width="15.28515625" style="157" customWidth="1"/>
    <col min="9" max="9" width="22.85546875" style="157" customWidth="1"/>
    <col min="10" max="10" width="41" style="157" bestFit="1" customWidth="1"/>
    <col min="11" max="11" width="12.85546875" style="157" bestFit="1" customWidth="1"/>
    <col min="12" max="12" width="14.5703125" style="157" bestFit="1" customWidth="1"/>
    <col min="13" max="13" width="18.85546875" style="157" customWidth="1"/>
    <col min="14" max="14" width="6.140625" style="157" customWidth="1"/>
    <col min="15" max="15" width="22.140625" style="157" bestFit="1" customWidth="1"/>
    <col min="16" max="16" width="26.140625" style="157" bestFit="1" customWidth="1"/>
    <col min="17" max="17" width="120" style="157" bestFit="1" customWidth="1"/>
    <col min="18" max="18" width="28.85546875" style="157" customWidth="1"/>
    <col min="19" max="19" width="33.85546875" style="158" bestFit="1" customWidth="1"/>
    <col min="20" max="20" width="27.28515625" style="158" bestFit="1" customWidth="1"/>
    <col min="21" max="23" width="8.5703125" style="157" customWidth="1"/>
    <col min="24" max="24" width="9.140625" style="157"/>
    <col min="25" max="25" width="10.5703125" style="157" customWidth="1"/>
    <col min="26" max="26" width="10.7109375" style="157" customWidth="1"/>
    <col min="27" max="27" width="22.5703125" style="157" customWidth="1"/>
    <col min="28" max="16384" width="9.140625" style="157"/>
  </cols>
  <sheetData>
    <row r="1" spans="1:28" ht="45.75" thickBot="1" x14ac:dyDescent="0.3">
      <c r="A1" s="127" t="s">
        <v>9</v>
      </c>
      <c r="B1" s="127" t="s">
        <v>10</v>
      </c>
      <c r="C1" s="128" t="s">
        <v>1</v>
      </c>
      <c r="D1" s="128" t="s">
        <v>20</v>
      </c>
      <c r="E1" s="128" t="s">
        <v>23</v>
      </c>
      <c r="F1" s="128" t="s">
        <v>24</v>
      </c>
      <c r="G1" s="128" t="s">
        <v>15</v>
      </c>
      <c r="H1" s="128" t="s">
        <v>33</v>
      </c>
      <c r="I1" s="128" t="s">
        <v>16</v>
      </c>
      <c r="J1" s="129" t="s">
        <v>2</v>
      </c>
      <c r="K1" s="130" t="s">
        <v>3</v>
      </c>
      <c r="L1" s="130" t="s">
        <v>4</v>
      </c>
      <c r="M1" s="130" t="s">
        <v>12</v>
      </c>
      <c r="N1" s="130" t="s">
        <v>7</v>
      </c>
      <c r="O1" s="130" t="s">
        <v>14</v>
      </c>
      <c r="P1" s="130" t="s">
        <v>13</v>
      </c>
      <c r="Q1" s="130" t="s">
        <v>17</v>
      </c>
      <c r="R1" s="130" t="s">
        <v>21</v>
      </c>
      <c r="S1" s="130" t="s">
        <v>22</v>
      </c>
      <c r="T1" s="128" t="s">
        <v>11</v>
      </c>
      <c r="U1" s="128" t="s">
        <v>19</v>
      </c>
      <c r="V1" s="128" t="s">
        <v>35</v>
      </c>
      <c r="W1" s="128" t="s">
        <v>36</v>
      </c>
      <c r="X1" s="131" t="s">
        <v>18</v>
      </c>
      <c r="Y1" s="131" t="s">
        <v>5</v>
      </c>
      <c r="Z1" s="131" t="s">
        <v>6</v>
      </c>
      <c r="AA1" s="130" t="s">
        <v>8</v>
      </c>
      <c r="AB1" s="175"/>
    </row>
    <row r="2" spans="1:28" ht="17.25" customHeight="1" thickBot="1" x14ac:dyDescent="0.3">
      <c r="A2" s="132">
        <v>1</v>
      </c>
      <c r="B2" s="133" t="s">
        <v>287</v>
      </c>
      <c r="C2" s="134" t="s">
        <v>27</v>
      </c>
      <c r="D2" s="135" t="s">
        <v>25</v>
      </c>
      <c r="E2" s="135">
        <v>50629</v>
      </c>
      <c r="F2" s="135" t="s">
        <v>37</v>
      </c>
      <c r="G2" s="136" t="s">
        <v>28</v>
      </c>
      <c r="H2" s="136" t="s">
        <v>34</v>
      </c>
      <c r="I2" s="135" t="s">
        <v>26</v>
      </c>
      <c r="J2" s="135" t="s">
        <v>100</v>
      </c>
      <c r="K2" s="135" t="s">
        <v>101</v>
      </c>
      <c r="L2" s="135" t="s">
        <v>102</v>
      </c>
      <c r="M2" s="137" t="s">
        <v>218</v>
      </c>
      <c r="N2" s="135" t="s">
        <v>29</v>
      </c>
      <c r="O2" s="137" t="s">
        <v>30</v>
      </c>
      <c r="P2" s="135" t="s">
        <v>358</v>
      </c>
      <c r="Q2" s="138" t="s">
        <v>309</v>
      </c>
      <c r="R2" s="135" t="s">
        <v>250</v>
      </c>
      <c r="S2" s="137" t="s">
        <v>69</v>
      </c>
      <c r="T2" s="173" t="s">
        <v>31</v>
      </c>
      <c r="U2" s="135">
        <v>2024</v>
      </c>
      <c r="V2" s="135">
        <v>428.9</v>
      </c>
      <c r="W2" s="135">
        <v>2</v>
      </c>
      <c r="X2" s="135" t="s">
        <v>189</v>
      </c>
      <c r="Y2" s="135" t="s">
        <v>696</v>
      </c>
      <c r="Z2" s="135">
        <v>5635646</v>
      </c>
      <c r="AA2" s="139" t="s">
        <v>190</v>
      </c>
    </row>
    <row r="3" spans="1:28" ht="15.75" thickBot="1" x14ac:dyDescent="0.3">
      <c r="A3" s="140">
        <v>2</v>
      </c>
      <c r="B3" s="141" t="s">
        <v>288</v>
      </c>
      <c r="C3" s="142" t="s">
        <v>27</v>
      </c>
      <c r="D3" s="143" t="s">
        <v>25</v>
      </c>
      <c r="E3" s="143">
        <v>50629</v>
      </c>
      <c r="F3" s="143" t="s">
        <v>37</v>
      </c>
      <c r="G3" s="144" t="s">
        <v>28</v>
      </c>
      <c r="H3" s="144" t="s">
        <v>34</v>
      </c>
      <c r="I3" s="143" t="s">
        <v>26</v>
      </c>
      <c r="J3" s="143" t="s">
        <v>103</v>
      </c>
      <c r="K3" s="143" t="s">
        <v>104</v>
      </c>
      <c r="L3" s="143" t="s">
        <v>105</v>
      </c>
      <c r="M3" s="145" t="s">
        <v>219</v>
      </c>
      <c r="N3" s="143" t="s">
        <v>29</v>
      </c>
      <c r="O3" s="145" t="s">
        <v>30</v>
      </c>
      <c r="P3" s="143" t="s">
        <v>358</v>
      </c>
      <c r="Q3" s="146" t="s">
        <v>334</v>
      </c>
      <c r="R3" s="143" t="s">
        <v>251</v>
      </c>
      <c r="S3" s="145" t="s">
        <v>70</v>
      </c>
      <c r="T3" s="174" t="s">
        <v>31</v>
      </c>
      <c r="U3" s="143">
        <v>2024</v>
      </c>
      <c r="V3" s="143">
        <v>423</v>
      </c>
      <c r="W3" s="143">
        <v>2</v>
      </c>
      <c r="X3" s="143" t="s">
        <v>189</v>
      </c>
      <c r="Y3" s="135" t="s">
        <v>696</v>
      </c>
      <c r="Z3" s="143">
        <v>4920363</v>
      </c>
      <c r="AA3" s="148" t="s">
        <v>191</v>
      </c>
    </row>
    <row r="4" spans="1:28" ht="15.75" thickBot="1" x14ac:dyDescent="0.3">
      <c r="A4" s="140">
        <v>3</v>
      </c>
      <c r="B4" s="141" t="s">
        <v>289</v>
      </c>
      <c r="C4" s="142" t="s">
        <v>27</v>
      </c>
      <c r="D4" s="143" t="s">
        <v>25</v>
      </c>
      <c r="E4" s="143">
        <v>50629</v>
      </c>
      <c r="F4" s="143" t="s">
        <v>37</v>
      </c>
      <c r="G4" s="144" t="s">
        <v>28</v>
      </c>
      <c r="H4" s="144" t="s">
        <v>34</v>
      </c>
      <c r="I4" s="143" t="s">
        <v>26</v>
      </c>
      <c r="J4" s="143" t="s">
        <v>106</v>
      </c>
      <c r="K4" s="143" t="s">
        <v>107</v>
      </c>
      <c r="L4" s="143" t="s">
        <v>108</v>
      </c>
      <c r="M4" s="145" t="s">
        <v>220</v>
      </c>
      <c r="N4" s="143" t="s">
        <v>248</v>
      </c>
      <c r="O4" s="145" t="s">
        <v>30</v>
      </c>
      <c r="P4" s="143" t="s">
        <v>358</v>
      </c>
      <c r="Q4" s="146" t="s">
        <v>335</v>
      </c>
      <c r="R4" s="143" t="s">
        <v>252</v>
      </c>
      <c r="S4" s="145" t="s">
        <v>71</v>
      </c>
      <c r="T4" s="174" t="s">
        <v>31</v>
      </c>
      <c r="U4" s="143">
        <v>2024</v>
      </c>
      <c r="V4" s="143">
        <v>434.4</v>
      </c>
      <c r="W4" s="143">
        <v>2</v>
      </c>
      <c r="X4" s="143" t="s">
        <v>189</v>
      </c>
      <c r="Y4" s="135" t="s">
        <v>696</v>
      </c>
      <c r="Z4" s="143">
        <v>5577010</v>
      </c>
      <c r="AA4" s="148" t="s">
        <v>192</v>
      </c>
    </row>
    <row r="5" spans="1:28" ht="15.75" thickBot="1" x14ac:dyDescent="0.3">
      <c r="A5" s="140">
        <v>4</v>
      </c>
      <c r="B5" s="141" t="s">
        <v>290</v>
      </c>
      <c r="C5" s="142" t="s">
        <v>27</v>
      </c>
      <c r="D5" s="143" t="s">
        <v>25</v>
      </c>
      <c r="E5" s="143">
        <v>50629</v>
      </c>
      <c r="F5" s="143" t="s">
        <v>37</v>
      </c>
      <c r="G5" s="144" t="s">
        <v>28</v>
      </c>
      <c r="H5" s="144" t="s">
        <v>34</v>
      </c>
      <c r="I5" s="143" t="s">
        <v>26</v>
      </c>
      <c r="J5" s="143" t="s">
        <v>109</v>
      </c>
      <c r="K5" s="143" t="s">
        <v>110</v>
      </c>
      <c r="L5" s="143" t="s">
        <v>111</v>
      </c>
      <c r="M5" s="145" t="s">
        <v>221</v>
      </c>
      <c r="N5" s="143" t="s">
        <v>29</v>
      </c>
      <c r="O5" s="145" t="s">
        <v>30</v>
      </c>
      <c r="P5" s="143" t="s">
        <v>358</v>
      </c>
      <c r="Q5" s="146" t="s">
        <v>336</v>
      </c>
      <c r="R5" s="143" t="s">
        <v>253</v>
      </c>
      <c r="S5" s="145" t="s">
        <v>72</v>
      </c>
      <c r="T5" s="174" t="s">
        <v>31</v>
      </c>
      <c r="U5" s="143">
        <v>2024</v>
      </c>
      <c r="V5" s="143">
        <v>410.4</v>
      </c>
      <c r="W5" s="143">
        <v>2</v>
      </c>
      <c r="X5" s="143" t="s">
        <v>189</v>
      </c>
      <c r="Y5" s="135" t="s">
        <v>696</v>
      </c>
      <c r="Z5" s="143">
        <v>5954470</v>
      </c>
      <c r="AA5" s="148" t="s">
        <v>193</v>
      </c>
    </row>
    <row r="6" spans="1:28" ht="15.75" thickBot="1" x14ac:dyDescent="0.3">
      <c r="A6" s="140">
        <v>5</v>
      </c>
      <c r="B6" s="141" t="s">
        <v>291</v>
      </c>
      <c r="C6" s="142" t="s">
        <v>27</v>
      </c>
      <c r="D6" s="143" t="s">
        <v>25</v>
      </c>
      <c r="E6" s="143">
        <v>50629</v>
      </c>
      <c r="F6" s="143" t="s">
        <v>37</v>
      </c>
      <c r="G6" s="144" t="s">
        <v>28</v>
      </c>
      <c r="H6" s="144" t="s">
        <v>34</v>
      </c>
      <c r="I6" s="143" t="s">
        <v>26</v>
      </c>
      <c r="J6" s="143" t="s">
        <v>112</v>
      </c>
      <c r="K6" s="143" t="s">
        <v>113</v>
      </c>
      <c r="L6" s="143" t="s">
        <v>114</v>
      </c>
      <c r="M6" s="145" t="s">
        <v>222</v>
      </c>
      <c r="N6" s="143" t="s">
        <v>29</v>
      </c>
      <c r="O6" s="145" t="s">
        <v>30</v>
      </c>
      <c r="P6" s="143" t="s">
        <v>359</v>
      </c>
      <c r="Q6" s="146" t="s">
        <v>337</v>
      </c>
      <c r="R6" s="143" t="s">
        <v>254</v>
      </c>
      <c r="S6" s="145" t="s">
        <v>73</v>
      </c>
      <c r="T6" s="174" t="s">
        <v>31</v>
      </c>
      <c r="U6" s="143">
        <v>2024</v>
      </c>
      <c r="V6" s="143">
        <v>418.1</v>
      </c>
      <c r="W6" s="143">
        <v>2</v>
      </c>
      <c r="X6" s="143" t="s">
        <v>189</v>
      </c>
      <c r="Y6" s="135" t="s">
        <v>696</v>
      </c>
      <c r="Z6" s="143">
        <v>5970560</v>
      </c>
      <c r="AA6" s="148" t="s">
        <v>194</v>
      </c>
    </row>
    <row r="7" spans="1:28" ht="15.75" thickBot="1" x14ac:dyDescent="0.3">
      <c r="A7" s="140">
        <v>6</v>
      </c>
      <c r="B7" s="141" t="s">
        <v>292</v>
      </c>
      <c r="C7" s="142" t="s">
        <v>27</v>
      </c>
      <c r="D7" s="143" t="s">
        <v>25</v>
      </c>
      <c r="E7" s="143">
        <v>50629</v>
      </c>
      <c r="F7" s="143" t="s">
        <v>37</v>
      </c>
      <c r="G7" s="144" t="s">
        <v>28</v>
      </c>
      <c r="H7" s="144" t="s">
        <v>34</v>
      </c>
      <c r="I7" s="143" t="s">
        <v>26</v>
      </c>
      <c r="J7" s="143" t="s">
        <v>115</v>
      </c>
      <c r="K7" s="143" t="s">
        <v>116</v>
      </c>
      <c r="L7" s="143" t="s">
        <v>117</v>
      </c>
      <c r="M7" s="145" t="s">
        <v>223</v>
      </c>
      <c r="N7" s="143" t="s">
        <v>29</v>
      </c>
      <c r="O7" s="145" t="s">
        <v>30</v>
      </c>
      <c r="P7" s="143" t="s">
        <v>358</v>
      </c>
      <c r="Q7" s="146" t="s">
        <v>338</v>
      </c>
      <c r="R7" s="143" t="s">
        <v>255</v>
      </c>
      <c r="S7" s="145" t="s">
        <v>74</v>
      </c>
      <c r="T7" s="174" t="s">
        <v>31</v>
      </c>
      <c r="U7" s="143">
        <v>2024</v>
      </c>
      <c r="V7" s="143">
        <v>421.7</v>
      </c>
      <c r="W7" s="143">
        <v>2</v>
      </c>
      <c r="X7" s="143" t="s">
        <v>189</v>
      </c>
      <c r="Y7" s="135" t="s">
        <v>696</v>
      </c>
      <c r="Z7" s="143">
        <v>5420481</v>
      </c>
      <c r="AA7" s="148" t="s">
        <v>195</v>
      </c>
    </row>
    <row r="8" spans="1:28" ht="15.75" thickBot="1" x14ac:dyDescent="0.3">
      <c r="A8" s="140">
        <v>7</v>
      </c>
      <c r="B8" s="141" t="s">
        <v>293</v>
      </c>
      <c r="C8" s="142" t="s">
        <v>27</v>
      </c>
      <c r="D8" s="143" t="s">
        <v>25</v>
      </c>
      <c r="E8" s="143">
        <v>50629</v>
      </c>
      <c r="F8" s="143" t="s">
        <v>37</v>
      </c>
      <c r="G8" s="144" t="s">
        <v>28</v>
      </c>
      <c r="H8" s="144" t="s">
        <v>34</v>
      </c>
      <c r="I8" s="143" t="s">
        <v>26</v>
      </c>
      <c r="J8" s="145" t="s">
        <v>163</v>
      </c>
      <c r="K8" s="145" t="s">
        <v>162</v>
      </c>
      <c r="L8" s="145" t="s">
        <v>118</v>
      </c>
      <c r="M8" s="145" t="s">
        <v>224</v>
      </c>
      <c r="N8" s="143" t="s">
        <v>29</v>
      </c>
      <c r="O8" s="145" t="s">
        <v>30</v>
      </c>
      <c r="P8" s="143" t="s">
        <v>360</v>
      </c>
      <c r="Q8" s="146" t="s">
        <v>339</v>
      </c>
      <c r="R8" s="143" t="s">
        <v>256</v>
      </c>
      <c r="S8" s="145" t="s">
        <v>75</v>
      </c>
      <c r="T8" s="174" t="s">
        <v>31</v>
      </c>
      <c r="U8" s="143">
        <v>2024</v>
      </c>
      <c r="V8" s="143">
        <v>429.8</v>
      </c>
      <c r="W8" s="143">
        <v>2</v>
      </c>
      <c r="X8" s="143" t="s">
        <v>189</v>
      </c>
      <c r="Y8" s="135" t="s">
        <v>696</v>
      </c>
      <c r="Z8" s="143">
        <v>5489492</v>
      </c>
      <c r="AA8" s="148" t="s">
        <v>196</v>
      </c>
    </row>
    <row r="9" spans="1:28" ht="15.75" thickBot="1" x14ac:dyDescent="0.3">
      <c r="A9" s="140">
        <v>8</v>
      </c>
      <c r="B9" s="141" t="s">
        <v>294</v>
      </c>
      <c r="C9" s="142" t="s">
        <v>27</v>
      </c>
      <c r="D9" s="143" t="s">
        <v>25</v>
      </c>
      <c r="E9" s="143">
        <v>50629</v>
      </c>
      <c r="F9" s="143" t="s">
        <v>37</v>
      </c>
      <c r="G9" s="144" t="s">
        <v>28</v>
      </c>
      <c r="H9" s="144" t="s">
        <v>34</v>
      </c>
      <c r="I9" s="143" t="s">
        <v>26</v>
      </c>
      <c r="J9" s="145" t="s">
        <v>164</v>
      </c>
      <c r="K9" s="145" t="s">
        <v>174</v>
      </c>
      <c r="L9" s="145" t="s">
        <v>183</v>
      </c>
      <c r="M9" s="145" t="s">
        <v>225</v>
      </c>
      <c r="N9" s="143" t="s">
        <v>29</v>
      </c>
      <c r="O9" s="145" t="s">
        <v>30</v>
      </c>
      <c r="P9" s="143" t="s">
        <v>358</v>
      </c>
      <c r="Q9" s="146" t="s">
        <v>697</v>
      </c>
      <c r="R9" s="143" t="s">
        <v>257</v>
      </c>
      <c r="S9" s="145" t="s">
        <v>76</v>
      </c>
      <c r="T9" s="174" t="s">
        <v>31</v>
      </c>
      <c r="U9" s="143">
        <v>2024</v>
      </c>
      <c r="V9" s="143">
        <v>412.8</v>
      </c>
      <c r="W9" s="143">
        <v>2</v>
      </c>
      <c r="X9" s="143" t="s">
        <v>189</v>
      </c>
      <c r="Y9" s="135" t="s">
        <v>696</v>
      </c>
      <c r="Z9" s="143">
        <v>4032658</v>
      </c>
      <c r="AA9" s="148" t="s">
        <v>197</v>
      </c>
    </row>
    <row r="10" spans="1:28" ht="15.75" thickBot="1" x14ac:dyDescent="0.3">
      <c r="A10" s="140">
        <v>9</v>
      </c>
      <c r="B10" s="141" t="s">
        <v>295</v>
      </c>
      <c r="C10" s="142" t="s">
        <v>27</v>
      </c>
      <c r="D10" s="143" t="s">
        <v>25</v>
      </c>
      <c r="E10" s="143">
        <v>50629</v>
      </c>
      <c r="F10" s="143" t="s">
        <v>37</v>
      </c>
      <c r="G10" s="144" t="s">
        <v>28</v>
      </c>
      <c r="H10" s="144" t="s">
        <v>34</v>
      </c>
      <c r="I10" s="143" t="s">
        <v>26</v>
      </c>
      <c r="J10" s="145" t="s">
        <v>165</v>
      </c>
      <c r="K10" s="145" t="s">
        <v>155</v>
      </c>
      <c r="L10" s="145" t="s">
        <v>119</v>
      </c>
      <c r="M10" s="145" t="s">
        <v>226</v>
      </c>
      <c r="N10" s="143" t="s">
        <v>29</v>
      </c>
      <c r="O10" s="145" t="s">
        <v>30</v>
      </c>
      <c r="P10" s="143" t="s">
        <v>361</v>
      </c>
      <c r="Q10" s="146" t="s">
        <v>340</v>
      </c>
      <c r="R10" s="143" t="s">
        <v>258</v>
      </c>
      <c r="S10" s="145" t="s">
        <v>77</v>
      </c>
      <c r="T10" s="174" t="s">
        <v>31</v>
      </c>
      <c r="U10" s="143">
        <v>2024</v>
      </c>
      <c r="V10" s="143">
        <v>427.7</v>
      </c>
      <c r="W10" s="143">
        <v>2</v>
      </c>
      <c r="X10" s="143" t="s">
        <v>189</v>
      </c>
      <c r="Y10" s="135" t="s">
        <v>696</v>
      </c>
      <c r="Z10" s="143">
        <v>3315262</v>
      </c>
      <c r="AA10" s="148" t="s">
        <v>198</v>
      </c>
    </row>
    <row r="11" spans="1:28" ht="15.75" thickBot="1" x14ac:dyDescent="0.3">
      <c r="A11" s="140">
        <v>10</v>
      </c>
      <c r="B11" s="141" t="s">
        <v>296</v>
      </c>
      <c r="C11" s="142" t="s">
        <v>27</v>
      </c>
      <c r="D11" s="143" t="s">
        <v>25</v>
      </c>
      <c r="E11" s="143">
        <v>50629</v>
      </c>
      <c r="F11" s="143" t="s">
        <v>37</v>
      </c>
      <c r="G11" s="144" t="s">
        <v>28</v>
      </c>
      <c r="H11" s="144" t="s">
        <v>34</v>
      </c>
      <c r="I11" s="143" t="s">
        <v>26</v>
      </c>
      <c r="J11" s="145" t="s">
        <v>120</v>
      </c>
      <c r="K11" s="145" t="s">
        <v>121</v>
      </c>
      <c r="L11" s="145" t="s">
        <v>122</v>
      </c>
      <c r="M11" s="145" t="s">
        <v>227</v>
      </c>
      <c r="N11" s="143" t="s">
        <v>29</v>
      </c>
      <c r="O11" s="145" t="s">
        <v>30</v>
      </c>
      <c r="P11" s="143" t="s">
        <v>358</v>
      </c>
      <c r="Q11" s="146" t="s">
        <v>367</v>
      </c>
      <c r="R11" s="143" t="s">
        <v>259</v>
      </c>
      <c r="S11" s="145" t="s">
        <v>78</v>
      </c>
      <c r="T11" s="174" t="s">
        <v>31</v>
      </c>
      <c r="U11" s="143">
        <v>2024</v>
      </c>
      <c r="V11" s="143">
        <v>468.8</v>
      </c>
      <c r="W11" s="143">
        <v>2</v>
      </c>
      <c r="X11" s="143" t="s">
        <v>189</v>
      </c>
      <c r="Y11" s="135" t="s">
        <v>696</v>
      </c>
      <c r="Z11" s="143">
        <v>4300345</v>
      </c>
      <c r="AA11" s="148" t="s">
        <v>199</v>
      </c>
    </row>
    <row r="12" spans="1:28" ht="15.75" thickBot="1" x14ac:dyDescent="0.3">
      <c r="A12" s="140">
        <v>11</v>
      </c>
      <c r="B12" s="141" t="s">
        <v>282</v>
      </c>
      <c r="C12" s="142" t="s">
        <v>27</v>
      </c>
      <c r="D12" s="143" t="s">
        <v>25</v>
      </c>
      <c r="E12" s="143">
        <v>50629</v>
      </c>
      <c r="F12" s="143" t="s">
        <v>37</v>
      </c>
      <c r="G12" s="144" t="s">
        <v>28</v>
      </c>
      <c r="H12" s="144" t="s">
        <v>34</v>
      </c>
      <c r="I12" s="143" t="s">
        <v>26</v>
      </c>
      <c r="J12" s="145" t="s">
        <v>166</v>
      </c>
      <c r="K12" s="145" t="s">
        <v>162</v>
      </c>
      <c r="L12" s="145" t="s">
        <v>123</v>
      </c>
      <c r="M12" s="145" t="s">
        <v>228</v>
      </c>
      <c r="N12" s="143" t="s">
        <v>29</v>
      </c>
      <c r="O12" s="145" t="s">
        <v>30</v>
      </c>
      <c r="P12" s="143" t="s">
        <v>358</v>
      </c>
      <c r="Q12" s="146" t="s">
        <v>341</v>
      </c>
      <c r="R12" s="143" t="s">
        <v>260</v>
      </c>
      <c r="S12" s="145" t="s">
        <v>79</v>
      </c>
      <c r="T12" s="174" t="s">
        <v>31</v>
      </c>
      <c r="U12" s="143">
        <v>2024</v>
      </c>
      <c r="V12" s="143">
        <v>538</v>
      </c>
      <c r="W12" s="143">
        <v>2</v>
      </c>
      <c r="X12" s="143" t="s">
        <v>189</v>
      </c>
      <c r="Y12" s="135" t="s">
        <v>696</v>
      </c>
      <c r="Z12" s="143">
        <v>5288074</v>
      </c>
      <c r="AA12" s="148" t="s">
        <v>200</v>
      </c>
    </row>
    <row r="13" spans="1:28" ht="15.75" thickBot="1" x14ac:dyDescent="0.3">
      <c r="A13" s="140">
        <v>12</v>
      </c>
      <c r="B13" s="141" t="s">
        <v>281</v>
      </c>
      <c r="C13" s="142" t="s">
        <v>27</v>
      </c>
      <c r="D13" s="143" t="s">
        <v>25</v>
      </c>
      <c r="E13" s="143">
        <v>50629</v>
      </c>
      <c r="F13" s="143" t="s">
        <v>37</v>
      </c>
      <c r="G13" s="144" t="s">
        <v>28</v>
      </c>
      <c r="H13" s="144" t="s">
        <v>34</v>
      </c>
      <c r="I13" s="143" t="s">
        <v>26</v>
      </c>
      <c r="J13" s="145" t="s">
        <v>167</v>
      </c>
      <c r="K13" s="145" t="s">
        <v>124</v>
      </c>
      <c r="L13" s="145" t="s">
        <v>125</v>
      </c>
      <c r="M13" s="145" t="s">
        <v>229</v>
      </c>
      <c r="N13" s="143" t="s">
        <v>248</v>
      </c>
      <c r="O13" s="145" t="s">
        <v>30</v>
      </c>
      <c r="P13" s="143" t="s">
        <v>361</v>
      </c>
      <c r="Q13" s="146" t="s">
        <v>342</v>
      </c>
      <c r="R13" s="143" t="s">
        <v>261</v>
      </c>
      <c r="S13" s="145" t="s">
        <v>80</v>
      </c>
      <c r="T13" s="174" t="s">
        <v>31</v>
      </c>
      <c r="U13" s="143">
        <v>2024</v>
      </c>
      <c r="V13" s="143">
        <v>560.79999999999995</v>
      </c>
      <c r="W13" s="143">
        <v>2</v>
      </c>
      <c r="X13" s="143" t="s">
        <v>189</v>
      </c>
      <c r="Y13" s="135" t="s">
        <v>696</v>
      </c>
      <c r="Z13" s="143">
        <v>4273486</v>
      </c>
      <c r="AA13" s="148" t="s">
        <v>201</v>
      </c>
    </row>
    <row r="14" spans="1:28" ht="15.75" thickBot="1" x14ac:dyDescent="0.3">
      <c r="A14" s="140">
        <v>13</v>
      </c>
      <c r="B14" s="141" t="s">
        <v>297</v>
      </c>
      <c r="C14" s="142" t="s">
        <v>27</v>
      </c>
      <c r="D14" s="143" t="s">
        <v>25</v>
      </c>
      <c r="E14" s="143">
        <v>50629</v>
      </c>
      <c r="F14" s="143" t="s">
        <v>37</v>
      </c>
      <c r="G14" s="144" t="s">
        <v>28</v>
      </c>
      <c r="H14" s="144" t="s">
        <v>34</v>
      </c>
      <c r="I14" s="143" t="s">
        <v>26</v>
      </c>
      <c r="J14" s="145" t="s">
        <v>126</v>
      </c>
      <c r="K14" s="145" t="s">
        <v>127</v>
      </c>
      <c r="L14" s="145" t="s">
        <v>128</v>
      </c>
      <c r="M14" s="145" t="s">
        <v>230</v>
      </c>
      <c r="N14" s="143" t="s">
        <v>29</v>
      </c>
      <c r="O14" s="145" t="s">
        <v>30</v>
      </c>
      <c r="P14" s="143" t="s">
        <v>358</v>
      </c>
      <c r="Q14" s="146" t="s">
        <v>529</v>
      </c>
      <c r="R14" s="143" t="s">
        <v>262</v>
      </c>
      <c r="S14" s="145" t="s">
        <v>81</v>
      </c>
      <c r="T14" s="174" t="s">
        <v>31</v>
      </c>
      <c r="U14" s="143">
        <v>2024</v>
      </c>
      <c r="V14" s="143">
        <v>432.8</v>
      </c>
      <c r="W14" s="143">
        <v>2</v>
      </c>
      <c r="X14" s="143" t="s">
        <v>189</v>
      </c>
      <c r="Y14" s="135" t="s">
        <v>696</v>
      </c>
      <c r="Z14" s="143">
        <v>10554252</v>
      </c>
      <c r="AA14" s="148" t="s">
        <v>202</v>
      </c>
    </row>
    <row r="15" spans="1:28" ht="15.75" thickBot="1" x14ac:dyDescent="0.3">
      <c r="A15" s="140">
        <v>14</v>
      </c>
      <c r="B15" s="141" t="s">
        <v>298</v>
      </c>
      <c r="C15" s="142" t="s">
        <v>27</v>
      </c>
      <c r="D15" s="143" t="s">
        <v>25</v>
      </c>
      <c r="E15" s="143">
        <v>50629</v>
      </c>
      <c r="F15" s="143" t="s">
        <v>37</v>
      </c>
      <c r="G15" s="144" t="s">
        <v>28</v>
      </c>
      <c r="H15" s="144" t="s">
        <v>34</v>
      </c>
      <c r="I15" s="143" t="s">
        <v>26</v>
      </c>
      <c r="J15" s="145" t="s">
        <v>129</v>
      </c>
      <c r="K15" s="145" t="s">
        <v>130</v>
      </c>
      <c r="L15" s="145" t="s">
        <v>131</v>
      </c>
      <c r="M15" s="145" t="s">
        <v>231</v>
      </c>
      <c r="N15" s="143" t="s">
        <v>29</v>
      </c>
      <c r="O15" s="145" t="s">
        <v>30</v>
      </c>
      <c r="P15" s="143" t="s">
        <v>362</v>
      </c>
      <c r="Q15" s="146" t="s">
        <v>344</v>
      </c>
      <c r="R15" s="143" t="s">
        <v>263</v>
      </c>
      <c r="S15" s="145" t="s">
        <v>82</v>
      </c>
      <c r="T15" s="174" t="s">
        <v>31</v>
      </c>
      <c r="U15" s="143">
        <v>2024</v>
      </c>
      <c r="V15" s="143">
        <v>412.6</v>
      </c>
      <c r="W15" s="143">
        <v>2</v>
      </c>
      <c r="X15" s="143" t="s">
        <v>189</v>
      </c>
      <c r="Y15" s="135" t="s">
        <v>696</v>
      </c>
      <c r="Z15" s="143">
        <v>2597156</v>
      </c>
      <c r="AA15" s="148" t="s">
        <v>203</v>
      </c>
    </row>
    <row r="16" spans="1:28" ht="15.75" thickBot="1" x14ac:dyDescent="0.3">
      <c r="A16" s="140">
        <v>15</v>
      </c>
      <c r="B16" s="141" t="s">
        <v>285</v>
      </c>
      <c r="C16" s="142" t="s">
        <v>27</v>
      </c>
      <c r="D16" s="143" t="s">
        <v>25</v>
      </c>
      <c r="E16" s="143">
        <v>50629</v>
      </c>
      <c r="F16" s="143" t="s">
        <v>37</v>
      </c>
      <c r="G16" s="144" t="s">
        <v>28</v>
      </c>
      <c r="H16" s="144" t="s">
        <v>34</v>
      </c>
      <c r="I16" s="143" t="s">
        <v>26</v>
      </c>
      <c r="J16" s="145" t="s">
        <v>168</v>
      </c>
      <c r="K16" s="145" t="s">
        <v>132</v>
      </c>
      <c r="L16" s="145" t="s">
        <v>133</v>
      </c>
      <c r="M16" s="145" t="s">
        <v>232</v>
      </c>
      <c r="N16" s="143" t="s">
        <v>29</v>
      </c>
      <c r="O16" s="145" t="s">
        <v>30</v>
      </c>
      <c r="P16" s="143" t="s">
        <v>363</v>
      </c>
      <c r="Q16" s="146" t="s">
        <v>345</v>
      </c>
      <c r="R16" s="143" t="s">
        <v>264</v>
      </c>
      <c r="S16" s="145" t="s">
        <v>83</v>
      </c>
      <c r="T16" s="174" t="s">
        <v>31</v>
      </c>
      <c r="U16" s="143">
        <v>2024</v>
      </c>
      <c r="V16" s="143">
        <v>482.5</v>
      </c>
      <c r="W16" s="143">
        <v>2</v>
      </c>
      <c r="X16" s="143" t="s">
        <v>189</v>
      </c>
      <c r="Y16" s="135" t="s">
        <v>696</v>
      </c>
      <c r="Z16" s="143">
        <v>5427466</v>
      </c>
      <c r="AA16" s="148" t="s">
        <v>204</v>
      </c>
    </row>
    <row r="17" spans="1:27" ht="15.75" thickBot="1" x14ac:dyDescent="0.3">
      <c r="A17" s="140">
        <v>16</v>
      </c>
      <c r="B17" s="141" t="s">
        <v>299</v>
      </c>
      <c r="C17" s="142" t="s">
        <v>27</v>
      </c>
      <c r="D17" s="143" t="s">
        <v>25</v>
      </c>
      <c r="E17" s="143">
        <v>50629</v>
      </c>
      <c r="F17" s="143" t="s">
        <v>37</v>
      </c>
      <c r="G17" s="144" t="s">
        <v>28</v>
      </c>
      <c r="H17" s="144" t="s">
        <v>34</v>
      </c>
      <c r="I17" s="143" t="s">
        <v>26</v>
      </c>
      <c r="J17" s="145" t="s">
        <v>134</v>
      </c>
      <c r="K17" s="145" t="s">
        <v>175</v>
      </c>
      <c r="L17" s="145" t="s">
        <v>184</v>
      </c>
      <c r="M17" s="145" t="s">
        <v>222</v>
      </c>
      <c r="N17" s="143" t="s">
        <v>29</v>
      </c>
      <c r="O17" s="145" t="s">
        <v>30</v>
      </c>
      <c r="P17" s="143" t="s">
        <v>358</v>
      </c>
      <c r="Q17" s="146" t="s">
        <v>346</v>
      </c>
      <c r="R17" s="143" t="s">
        <v>265</v>
      </c>
      <c r="S17" s="145" t="s">
        <v>84</v>
      </c>
      <c r="T17" s="174" t="s">
        <v>31</v>
      </c>
      <c r="U17" s="143">
        <v>2024</v>
      </c>
      <c r="V17" s="143">
        <v>424.8</v>
      </c>
      <c r="W17" s="143">
        <v>2</v>
      </c>
      <c r="X17" s="143" t="s">
        <v>189</v>
      </c>
      <c r="Y17" s="135" t="s">
        <v>696</v>
      </c>
      <c r="Z17" s="143">
        <v>5784119</v>
      </c>
      <c r="AA17" s="148" t="s">
        <v>205</v>
      </c>
    </row>
    <row r="18" spans="1:27" ht="15.75" thickBot="1" x14ac:dyDescent="0.3">
      <c r="A18" s="140">
        <v>17</v>
      </c>
      <c r="B18" s="141" t="s">
        <v>300</v>
      </c>
      <c r="C18" s="142" t="s">
        <v>27</v>
      </c>
      <c r="D18" s="143" t="s">
        <v>25</v>
      </c>
      <c r="E18" s="143">
        <v>50629</v>
      </c>
      <c r="F18" s="143" t="s">
        <v>37</v>
      </c>
      <c r="G18" s="144" t="s">
        <v>28</v>
      </c>
      <c r="H18" s="144" t="s">
        <v>34</v>
      </c>
      <c r="I18" s="143" t="s">
        <v>26</v>
      </c>
      <c r="J18" s="145" t="s">
        <v>169</v>
      </c>
      <c r="K18" s="145" t="s">
        <v>176</v>
      </c>
      <c r="L18" s="145" t="s">
        <v>185</v>
      </c>
      <c r="M18" s="145" t="s">
        <v>233</v>
      </c>
      <c r="N18" s="143" t="s">
        <v>29</v>
      </c>
      <c r="O18" s="145" t="s">
        <v>30</v>
      </c>
      <c r="P18" s="143" t="s">
        <v>358</v>
      </c>
      <c r="Q18" s="146" t="s">
        <v>347</v>
      </c>
      <c r="R18" s="143" t="s">
        <v>266</v>
      </c>
      <c r="S18" s="145" t="s">
        <v>85</v>
      </c>
      <c r="T18" s="174" t="s">
        <v>31</v>
      </c>
      <c r="U18" s="143">
        <v>2024</v>
      </c>
      <c r="V18" s="143">
        <v>427.7</v>
      </c>
      <c r="W18" s="143">
        <v>2</v>
      </c>
      <c r="X18" s="143" t="s">
        <v>189</v>
      </c>
      <c r="Y18" s="135" t="s">
        <v>696</v>
      </c>
      <c r="Z18" s="143">
        <v>5245840</v>
      </c>
      <c r="AA18" s="148" t="s">
        <v>206</v>
      </c>
    </row>
    <row r="19" spans="1:27" ht="15.75" thickBot="1" x14ac:dyDescent="0.3">
      <c r="A19" s="140">
        <v>18</v>
      </c>
      <c r="B19" s="141" t="s">
        <v>301</v>
      </c>
      <c r="C19" s="142" t="s">
        <v>27</v>
      </c>
      <c r="D19" s="143" t="s">
        <v>25</v>
      </c>
      <c r="E19" s="143">
        <v>50629</v>
      </c>
      <c r="F19" s="143" t="s">
        <v>37</v>
      </c>
      <c r="G19" s="144" t="s">
        <v>28</v>
      </c>
      <c r="H19" s="144" t="s">
        <v>34</v>
      </c>
      <c r="I19" s="143" t="s">
        <v>26</v>
      </c>
      <c r="J19" s="145" t="s">
        <v>170</v>
      </c>
      <c r="K19" s="145" t="s">
        <v>177</v>
      </c>
      <c r="L19" s="145" t="s">
        <v>135</v>
      </c>
      <c r="M19" s="145" t="s">
        <v>234</v>
      </c>
      <c r="N19" s="143" t="s">
        <v>248</v>
      </c>
      <c r="O19" s="145" t="s">
        <v>30</v>
      </c>
      <c r="P19" s="143" t="s">
        <v>358</v>
      </c>
      <c r="Q19" s="146" t="s">
        <v>348</v>
      </c>
      <c r="R19" s="143" t="s">
        <v>267</v>
      </c>
      <c r="S19" s="145" t="s">
        <v>86</v>
      </c>
      <c r="T19" s="174" t="s">
        <v>31</v>
      </c>
      <c r="U19" s="143">
        <v>2024</v>
      </c>
      <c r="V19" s="143">
        <v>407.3</v>
      </c>
      <c r="W19" s="143">
        <v>2</v>
      </c>
      <c r="X19" s="143" t="s">
        <v>189</v>
      </c>
      <c r="Y19" s="135" t="s">
        <v>696</v>
      </c>
      <c r="Z19" s="143">
        <v>3774298</v>
      </c>
      <c r="AA19" s="148" t="s">
        <v>207</v>
      </c>
    </row>
    <row r="20" spans="1:27" ht="15.75" thickBot="1" x14ac:dyDescent="0.3">
      <c r="A20" s="140">
        <v>19</v>
      </c>
      <c r="B20" s="141" t="s">
        <v>284</v>
      </c>
      <c r="C20" s="142" t="s">
        <v>27</v>
      </c>
      <c r="D20" s="143" t="s">
        <v>25</v>
      </c>
      <c r="E20" s="143">
        <v>50629</v>
      </c>
      <c r="F20" s="143" t="s">
        <v>37</v>
      </c>
      <c r="G20" s="144" t="s">
        <v>28</v>
      </c>
      <c r="H20" s="144" t="s">
        <v>34</v>
      </c>
      <c r="I20" s="143" t="s">
        <v>26</v>
      </c>
      <c r="J20" s="145" t="s">
        <v>171</v>
      </c>
      <c r="K20" s="145" t="s">
        <v>178</v>
      </c>
      <c r="L20" s="145" t="s">
        <v>136</v>
      </c>
      <c r="M20" s="145" t="s">
        <v>235</v>
      </c>
      <c r="N20" s="143" t="s">
        <v>29</v>
      </c>
      <c r="O20" s="145" t="s">
        <v>30</v>
      </c>
      <c r="P20" s="143" t="s">
        <v>364</v>
      </c>
      <c r="Q20" s="146" t="s">
        <v>351</v>
      </c>
      <c r="R20" s="143" t="s">
        <v>268</v>
      </c>
      <c r="S20" s="145" t="s">
        <v>87</v>
      </c>
      <c r="T20" s="174" t="s">
        <v>31</v>
      </c>
      <c r="U20" s="143">
        <v>2024</v>
      </c>
      <c r="V20" s="143">
        <v>486.5</v>
      </c>
      <c r="W20" s="143">
        <v>2</v>
      </c>
      <c r="X20" s="143" t="s">
        <v>189</v>
      </c>
      <c r="Y20" s="135" t="s">
        <v>696</v>
      </c>
      <c r="Z20" s="143">
        <v>5407147</v>
      </c>
      <c r="AA20" s="148" t="s">
        <v>208</v>
      </c>
    </row>
    <row r="21" spans="1:27" ht="15.75" thickBot="1" x14ac:dyDescent="0.3">
      <c r="A21" s="140">
        <v>20</v>
      </c>
      <c r="B21" s="141" t="s">
        <v>302</v>
      </c>
      <c r="C21" s="142" t="s">
        <v>27</v>
      </c>
      <c r="D21" s="143" t="s">
        <v>25</v>
      </c>
      <c r="E21" s="143">
        <v>50629</v>
      </c>
      <c r="F21" s="143" t="s">
        <v>37</v>
      </c>
      <c r="G21" s="144" t="s">
        <v>28</v>
      </c>
      <c r="H21" s="144" t="s">
        <v>34</v>
      </c>
      <c r="I21" s="143" t="s">
        <v>26</v>
      </c>
      <c r="J21" s="145" t="s">
        <v>137</v>
      </c>
      <c r="K21" s="145" t="s">
        <v>138</v>
      </c>
      <c r="L21" s="145" t="s">
        <v>135</v>
      </c>
      <c r="M21" s="145" t="s">
        <v>236</v>
      </c>
      <c r="N21" s="143" t="s">
        <v>29</v>
      </c>
      <c r="O21" s="145" t="s">
        <v>30</v>
      </c>
      <c r="P21" s="143" t="s">
        <v>358</v>
      </c>
      <c r="Q21" s="146" t="s">
        <v>352</v>
      </c>
      <c r="R21" s="143" t="s">
        <v>269</v>
      </c>
      <c r="S21" s="145" t="s">
        <v>88</v>
      </c>
      <c r="T21" s="174" t="s">
        <v>31</v>
      </c>
      <c r="U21" s="143">
        <v>2024</v>
      </c>
      <c r="V21" s="143">
        <v>395.2</v>
      </c>
      <c r="W21" s="143">
        <v>2</v>
      </c>
      <c r="X21" s="143" t="s">
        <v>189</v>
      </c>
      <c r="Y21" s="135" t="s">
        <v>696</v>
      </c>
      <c r="Z21" s="143">
        <v>5064308</v>
      </c>
      <c r="AA21" s="148" t="s">
        <v>209</v>
      </c>
    </row>
    <row r="22" spans="1:27" ht="15.75" thickBot="1" x14ac:dyDescent="0.3">
      <c r="A22" s="140">
        <v>21</v>
      </c>
      <c r="B22" s="141" t="s">
        <v>286</v>
      </c>
      <c r="C22" s="142" t="s">
        <v>27</v>
      </c>
      <c r="D22" s="143" t="s">
        <v>25</v>
      </c>
      <c r="E22" s="143">
        <v>50629</v>
      </c>
      <c r="F22" s="143" t="s">
        <v>37</v>
      </c>
      <c r="G22" s="144" t="s">
        <v>28</v>
      </c>
      <c r="H22" s="144" t="s">
        <v>34</v>
      </c>
      <c r="I22" s="143" t="s">
        <v>26</v>
      </c>
      <c r="J22" s="145" t="s">
        <v>139</v>
      </c>
      <c r="K22" s="145" t="s">
        <v>179</v>
      </c>
      <c r="L22" s="145" t="s">
        <v>140</v>
      </c>
      <c r="M22" s="145" t="s">
        <v>237</v>
      </c>
      <c r="N22" s="143" t="s">
        <v>29</v>
      </c>
      <c r="O22" s="145" t="s">
        <v>30</v>
      </c>
      <c r="P22" s="143" t="s">
        <v>365</v>
      </c>
      <c r="Q22" s="146" t="s">
        <v>353</v>
      </c>
      <c r="R22" s="143" t="s">
        <v>270</v>
      </c>
      <c r="S22" s="145" t="s">
        <v>89</v>
      </c>
      <c r="T22" s="174" t="s">
        <v>31</v>
      </c>
      <c r="U22" s="143">
        <v>2024</v>
      </c>
      <c r="V22" s="143">
        <v>472.7</v>
      </c>
      <c r="W22" s="143">
        <v>2</v>
      </c>
      <c r="X22" s="143" t="s">
        <v>189</v>
      </c>
      <c r="Y22" s="135" t="s">
        <v>696</v>
      </c>
      <c r="Z22" s="143">
        <v>5316283</v>
      </c>
      <c r="AA22" s="148" t="s">
        <v>210</v>
      </c>
    </row>
    <row r="23" spans="1:27" ht="15.75" thickBot="1" x14ac:dyDescent="0.3">
      <c r="A23" s="140">
        <v>22</v>
      </c>
      <c r="B23" s="141" t="s">
        <v>303</v>
      </c>
      <c r="C23" s="142" t="s">
        <v>27</v>
      </c>
      <c r="D23" s="143" t="s">
        <v>25</v>
      </c>
      <c r="E23" s="143">
        <v>50629</v>
      </c>
      <c r="F23" s="143" t="s">
        <v>37</v>
      </c>
      <c r="G23" s="144" t="s">
        <v>28</v>
      </c>
      <c r="H23" s="144" t="s">
        <v>34</v>
      </c>
      <c r="I23" s="143" t="s">
        <v>26</v>
      </c>
      <c r="J23" s="145" t="s">
        <v>172</v>
      </c>
      <c r="K23" s="145" t="s">
        <v>180</v>
      </c>
      <c r="L23" s="145" t="s">
        <v>141</v>
      </c>
      <c r="M23" s="145" t="s">
        <v>238</v>
      </c>
      <c r="N23" s="143" t="s">
        <v>29</v>
      </c>
      <c r="O23" s="145" t="s">
        <v>30</v>
      </c>
      <c r="P23" s="143" t="s">
        <v>358</v>
      </c>
      <c r="Q23" s="146" t="s">
        <v>354</v>
      </c>
      <c r="R23" s="143" t="s">
        <v>271</v>
      </c>
      <c r="S23" s="145" t="s">
        <v>90</v>
      </c>
      <c r="T23" s="174" t="s">
        <v>31</v>
      </c>
      <c r="U23" s="143">
        <v>2024</v>
      </c>
      <c r="V23" s="143">
        <v>459.8</v>
      </c>
      <c r="W23" s="143">
        <v>2</v>
      </c>
      <c r="X23" s="143" t="s">
        <v>189</v>
      </c>
      <c r="Y23" s="135" t="s">
        <v>696</v>
      </c>
      <c r="Z23" s="143">
        <v>5287779</v>
      </c>
      <c r="AA23" s="148" t="s">
        <v>211</v>
      </c>
    </row>
    <row r="24" spans="1:27" ht="15.75" thickBot="1" x14ac:dyDescent="0.3">
      <c r="A24" s="140">
        <v>23</v>
      </c>
      <c r="B24" s="141" t="s">
        <v>283</v>
      </c>
      <c r="C24" s="142" t="s">
        <v>27</v>
      </c>
      <c r="D24" s="143" t="s">
        <v>25</v>
      </c>
      <c r="E24" s="143">
        <v>50629</v>
      </c>
      <c r="F24" s="143" t="s">
        <v>37</v>
      </c>
      <c r="G24" s="144" t="s">
        <v>28</v>
      </c>
      <c r="H24" s="144" t="s">
        <v>34</v>
      </c>
      <c r="I24" s="143" t="s">
        <v>26</v>
      </c>
      <c r="J24" s="145" t="s">
        <v>142</v>
      </c>
      <c r="K24" s="145" t="s">
        <v>181</v>
      </c>
      <c r="L24" s="145" t="s">
        <v>186</v>
      </c>
      <c r="M24" s="145" t="s">
        <v>239</v>
      </c>
      <c r="N24" s="143" t="s">
        <v>248</v>
      </c>
      <c r="O24" s="145" t="s">
        <v>30</v>
      </c>
      <c r="P24" s="143" t="s">
        <v>358</v>
      </c>
      <c r="Q24" s="146" t="s">
        <v>355</v>
      </c>
      <c r="R24" s="143" t="s">
        <v>272</v>
      </c>
      <c r="S24" s="145" t="s">
        <v>91</v>
      </c>
      <c r="T24" s="174" t="s">
        <v>31</v>
      </c>
      <c r="U24" s="143">
        <v>2024</v>
      </c>
      <c r="V24" s="143">
        <v>494.1</v>
      </c>
      <c r="W24" s="143">
        <v>2</v>
      </c>
      <c r="X24" s="143" t="s">
        <v>189</v>
      </c>
      <c r="Y24" s="135" t="s">
        <v>696</v>
      </c>
      <c r="Z24" s="143">
        <v>3384097</v>
      </c>
      <c r="AA24" s="148" t="s">
        <v>212</v>
      </c>
    </row>
    <row r="25" spans="1:27" ht="15.75" thickBot="1" x14ac:dyDescent="0.3">
      <c r="A25" s="140">
        <v>24</v>
      </c>
      <c r="B25" s="141" t="s">
        <v>304</v>
      </c>
      <c r="C25" s="142" t="s">
        <v>27</v>
      </c>
      <c r="D25" s="143" t="s">
        <v>25</v>
      </c>
      <c r="E25" s="143">
        <v>50629</v>
      </c>
      <c r="F25" s="143" t="s">
        <v>37</v>
      </c>
      <c r="G25" s="144" t="s">
        <v>28</v>
      </c>
      <c r="H25" s="144" t="s">
        <v>34</v>
      </c>
      <c r="I25" s="143" t="s">
        <v>26</v>
      </c>
      <c r="J25" s="145" t="s">
        <v>143</v>
      </c>
      <c r="K25" s="145" t="s">
        <v>144</v>
      </c>
      <c r="L25" s="145" t="s">
        <v>123</v>
      </c>
      <c r="M25" s="145" t="s">
        <v>240</v>
      </c>
      <c r="N25" s="143" t="s">
        <v>29</v>
      </c>
      <c r="O25" s="145" t="s">
        <v>30</v>
      </c>
      <c r="P25" s="143" t="s">
        <v>358</v>
      </c>
      <c r="Q25" s="146" t="s">
        <v>356</v>
      </c>
      <c r="R25" s="143" t="s">
        <v>273</v>
      </c>
      <c r="S25" s="145" t="s">
        <v>92</v>
      </c>
      <c r="T25" s="174" t="s">
        <v>31</v>
      </c>
      <c r="U25" s="143">
        <v>2024</v>
      </c>
      <c r="V25" s="143">
        <v>434.8</v>
      </c>
      <c r="W25" s="143">
        <v>2</v>
      </c>
      <c r="X25" s="143" t="s">
        <v>189</v>
      </c>
      <c r="Y25" s="135" t="s">
        <v>696</v>
      </c>
      <c r="Z25" s="143">
        <v>4539776</v>
      </c>
      <c r="AA25" s="148" t="s">
        <v>213</v>
      </c>
    </row>
    <row r="26" spans="1:27" ht="15.75" thickBot="1" x14ac:dyDescent="0.3">
      <c r="A26" s="140">
        <v>25</v>
      </c>
      <c r="B26" s="141" t="s">
        <v>305</v>
      </c>
      <c r="C26" s="142" t="s">
        <v>27</v>
      </c>
      <c r="D26" s="143" t="s">
        <v>25</v>
      </c>
      <c r="E26" s="143">
        <v>50629</v>
      </c>
      <c r="F26" s="143" t="s">
        <v>37</v>
      </c>
      <c r="G26" s="144" t="s">
        <v>28</v>
      </c>
      <c r="H26" s="144" t="s">
        <v>34</v>
      </c>
      <c r="I26" s="143" t="s">
        <v>26</v>
      </c>
      <c r="J26" s="145" t="s">
        <v>145</v>
      </c>
      <c r="K26" s="145" t="s">
        <v>146</v>
      </c>
      <c r="L26" s="145" t="s">
        <v>147</v>
      </c>
      <c r="M26" s="145" t="s">
        <v>241</v>
      </c>
      <c r="N26" s="143" t="s">
        <v>29</v>
      </c>
      <c r="O26" s="145" t="s">
        <v>30</v>
      </c>
      <c r="P26" s="143" t="s">
        <v>358</v>
      </c>
      <c r="Q26" s="146" t="s">
        <v>609</v>
      </c>
      <c r="R26" s="143" t="s">
        <v>274</v>
      </c>
      <c r="S26" s="145" t="s">
        <v>93</v>
      </c>
      <c r="T26" s="174" t="s">
        <v>31</v>
      </c>
      <c r="U26" s="143">
        <v>2024</v>
      </c>
      <c r="V26" s="143">
        <v>443.3</v>
      </c>
      <c r="W26" s="143">
        <v>2</v>
      </c>
      <c r="X26" s="143" t="s">
        <v>189</v>
      </c>
      <c r="Y26" s="135" t="s">
        <v>696</v>
      </c>
      <c r="Z26" s="143">
        <v>12594384</v>
      </c>
      <c r="AA26" s="148" t="s">
        <v>214</v>
      </c>
    </row>
    <row r="27" spans="1:27" ht="15.75" thickBot="1" x14ac:dyDescent="0.3">
      <c r="A27" s="140">
        <v>26</v>
      </c>
      <c r="B27" s="141" t="s">
        <v>306</v>
      </c>
      <c r="C27" s="142" t="s">
        <v>27</v>
      </c>
      <c r="D27" s="143" t="s">
        <v>25</v>
      </c>
      <c r="E27" s="143">
        <v>50629</v>
      </c>
      <c r="F27" s="143" t="s">
        <v>37</v>
      </c>
      <c r="G27" s="144" t="s">
        <v>28</v>
      </c>
      <c r="H27" s="144" t="s">
        <v>34</v>
      </c>
      <c r="I27" s="143" t="s">
        <v>26</v>
      </c>
      <c r="J27" s="145" t="s">
        <v>148</v>
      </c>
      <c r="K27" s="145" t="s">
        <v>149</v>
      </c>
      <c r="L27" s="145" t="s">
        <v>187</v>
      </c>
      <c r="M27" s="145" t="s">
        <v>242</v>
      </c>
      <c r="N27" s="143" t="s">
        <v>29</v>
      </c>
      <c r="O27" s="145" t="s">
        <v>30</v>
      </c>
      <c r="P27" s="143" t="s">
        <v>358</v>
      </c>
      <c r="Q27" s="146" t="s">
        <v>357</v>
      </c>
      <c r="R27" s="143" t="s">
        <v>275</v>
      </c>
      <c r="S27" s="145" t="s">
        <v>94</v>
      </c>
      <c r="T27" s="174" t="s">
        <v>31</v>
      </c>
      <c r="U27" s="143">
        <v>2024</v>
      </c>
      <c r="V27" s="143">
        <v>432.5</v>
      </c>
      <c r="W27" s="143">
        <v>2</v>
      </c>
      <c r="X27" s="143" t="s">
        <v>189</v>
      </c>
      <c r="Y27" s="135" t="s">
        <v>696</v>
      </c>
      <c r="Z27" s="143">
        <v>5040694</v>
      </c>
      <c r="AA27" s="148" t="s">
        <v>215</v>
      </c>
    </row>
    <row r="28" spans="1:27" ht="15.75" thickBot="1" x14ac:dyDescent="0.3">
      <c r="A28" s="140">
        <v>27</v>
      </c>
      <c r="B28" s="141" t="s">
        <v>307</v>
      </c>
      <c r="C28" s="142" t="s">
        <v>27</v>
      </c>
      <c r="D28" s="143" t="s">
        <v>25</v>
      </c>
      <c r="E28" s="143">
        <v>50629</v>
      </c>
      <c r="F28" s="143" t="s">
        <v>37</v>
      </c>
      <c r="G28" s="144" t="s">
        <v>28</v>
      </c>
      <c r="H28" s="144" t="s">
        <v>34</v>
      </c>
      <c r="I28" s="143" t="s">
        <v>26</v>
      </c>
      <c r="J28" s="145" t="s">
        <v>150</v>
      </c>
      <c r="K28" s="145" t="s">
        <v>182</v>
      </c>
      <c r="L28" s="145" t="s">
        <v>188</v>
      </c>
      <c r="M28" s="145" t="s">
        <v>243</v>
      </c>
      <c r="N28" s="143" t="s">
        <v>29</v>
      </c>
      <c r="O28" s="145" t="s">
        <v>30</v>
      </c>
      <c r="P28" s="143" t="s">
        <v>365</v>
      </c>
      <c r="Q28" s="146" t="s">
        <v>350</v>
      </c>
      <c r="R28" s="143" t="s">
        <v>276</v>
      </c>
      <c r="S28" s="145" t="s">
        <v>95</v>
      </c>
      <c r="T28" s="174" t="s">
        <v>31</v>
      </c>
      <c r="U28" s="143">
        <v>2024</v>
      </c>
      <c r="V28" s="143">
        <v>397.1</v>
      </c>
      <c r="W28" s="143">
        <v>2</v>
      </c>
      <c r="X28" s="143" t="s">
        <v>189</v>
      </c>
      <c r="Y28" s="135" t="s">
        <v>696</v>
      </c>
      <c r="Z28" s="143">
        <v>5584553</v>
      </c>
      <c r="AA28" s="148" t="s">
        <v>216</v>
      </c>
    </row>
    <row r="29" spans="1:27" x14ac:dyDescent="0.25">
      <c r="A29" s="140">
        <v>28</v>
      </c>
      <c r="B29" s="141" t="s">
        <v>308</v>
      </c>
      <c r="C29" s="142" t="s">
        <v>27</v>
      </c>
      <c r="D29" s="143" t="s">
        <v>25</v>
      </c>
      <c r="E29" s="143">
        <v>50629</v>
      </c>
      <c r="F29" s="143" t="s">
        <v>37</v>
      </c>
      <c r="G29" s="144" t="s">
        <v>28</v>
      </c>
      <c r="H29" s="144" t="s">
        <v>34</v>
      </c>
      <c r="I29" s="143" t="s">
        <v>26</v>
      </c>
      <c r="J29" s="145" t="s">
        <v>173</v>
      </c>
      <c r="K29" s="145" t="s">
        <v>151</v>
      </c>
      <c r="L29" s="145" t="s">
        <v>152</v>
      </c>
      <c r="M29" s="145" t="s">
        <v>244</v>
      </c>
      <c r="N29" s="143" t="s">
        <v>248</v>
      </c>
      <c r="O29" s="145" t="s">
        <v>30</v>
      </c>
      <c r="P29" s="143" t="s">
        <v>358</v>
      </c>
      <c r="Q29" s="146" t="s">
        <v>349</v>
      </c>
      <c r="R29" s="143" t="s">
        <v>277</v>
      </c>
      <c r="S29" s="145" t="s">
        <v>96</v>
      </c>
      <c r="T29" s="174" t="s">
        <v>31</v>
      </c>
      <c r="U29" s="143">
        <v>2024</v>
      </c>
      <c r="V29" s="143">
        <v>472.7</v>
      </c>
      <c r="W29" s="143">
        <v>2</v>
      </c>
      <c r="X29" s="143" t="s">
        <v>189</v>
      </c>
      <c r="Y29" s="135" t="s">
        <v>696</v>
      </c>
      <c r="Z29" s="143">
        <v>779074</v>
      </c>
      <c r="AA29" s="148" t="s">
        <v>217</v>
      </c>
    </row>
    <row r="30" spans="1:27" x14ac:dyDescent="0.25">
      <c r="A30" s="149">
        <v>29</v>
      </c>
      <c r="B30" s="150" t="s">
        <v>310</v>
      </c>
      <c r="C30" s="143" t="s">
        <v>27</v>
      </c>
      <c r="D30" s="143" t="s">
        <v>25</v>
      </c>
      <c r="E30" s="143">
        <v>50629</v>
      </c>
      <c r="F30" s="143" t="s">
        <v>37</v>
      </c>
      <c r="G30" s="144" t="s">
        <v>28</v>
      </c>
      <c r="H30" s="144" t="s">
        <v>34</v>
      </c>
      <c r="I30" s="143" t="s">
        <v>26</v>
      </c>
      <c r="J30" s="145" t="s">
        <v>153</v>
      </c>
      <c r="K30" s="145" t="s">
        <v>154</v>
      </c>
      <c r="L30" s="145" t="s">
        <v>155</v>
      </c>
      <c r="M30" s="145" t="s">
        <v>245</v>
      </c>
      <c r="N30" s="143" t="s">
        <v>29</v>
      </c>
      <c r="O30" s="143" t="s">
        <v>316</v>
      </c>
      <c r="P30" s="143" t="s">
        <v>316</v>
      </c>
      <c r="Q30" s="146" t="s">
        <v>695</v>
      </c>
      <c r="R30" s="143" t="s">
        <v>278</v>
      </c>
      <c r="S30" s="145" t="s">
        <v>97</v>
      </c>
      <c r="T30" s="145" t="s">
        <v>249</v>
      </c>
      <c r="U30" s="143">
        <v>2024</v>
      </c>
      <c r="V30" s="147"/>
      <c r="W30" s="143">
        <v>2</v>
      </c>
      <c r="X30" s="143" t="s">
        <v>32</v>
      </c>
      <c r="Y30" s="151" t="s">
        <v>313</v>
      </c>
      <c r="Z30" s="151">
        <v>671053</v>
      </c>
      <c r="AA30" s="148"/>
    </row>
    <row r="31" spans="1:27" x14ac:dyDescent="0.25">
      <c r="A31" s="149">
        <v>30</v>
      </c>
      <c r="B31" s="145" t="s">
        <v>311</v>
      </c>
      <c r="C31" s="143" t="s">
        <v>27</v>
      </c>
      <c r="D31" s="143" t="s">
        <v>25</v>
      </c>
      <c r="E31" s="143">
        <v>50629</v>
      </c>
      <c r="F31" s="143" t="s">
        <v>37</v>
      </c>
      <c r="G31" s="144" t="s">
        <v>28</v>
      </c>
      <c r="H31" s="144" t="s">
        <v>34</v>
      </c>
      <c r="I31" s="143" t="s">
        <v>26</v>
      </c>
      <c r="J31" s="145" t="s">
        <v>156</v>
      </c>
      <c r="K31" s="145" t="s">
        <v>157</v>
      </c>
      <c r="L31" s="145" t="s">
        <v>158</v>
      </c>
      <c r="M31" s="145" t="s">
        <v>246</v>
      </c>
      <c r="N31" s="143" t="s">
        <v>29</v>
      </c>
      <c r="O31" s="145" t="s">
        <v>314</v>
      </c>
      <c r="P31" s="145" t="s">
        <v>314</v>
      </c>
      <c r="Q31" s="152" t="s">
        <v>366</v>
      </c>
      <c r="R31" s="143" t="s">
        <v>279</v>
      </c>
      <c r="S31" s="145" t="s">
        <v>98</v>
      </c>
      <c r="T31" s="145" t="s">
        <v>249</v>
      </c>
      <c r="U31" s="143">
        <v>2024</v>
      </c>
      <c r="V31" s="147"/>
      <c r="W31" s="143">
        <v>2</v>
      </c>
      <c r="X31" s="143" t="s">
        <v>32</v>
      </c>
      <c r="Y31" s="151" t="s">
        <v>313</v>
      </c>
      <c r="Z31" s="153">
        <v>782806</v>
      </c>
      <c r="AA31" s="148"/>
    </row>
    <row r="32" spans="1:27" ht="15.75" thickBot="1" x14ac:dyDescent="0.3">
      <c r="A32" s="154">
        <v>31</v>
      </c>
      <c r="B32" s="160" t="s">
        <v>312</v>
      </c>
      <c r="C32" s="161" t="s">
        <v>27</v>
      </c>
      <c r="D32" s="161" t="s">
        <v>25</v>
      </c>
      <c r="E32" s="161">
        <v>50629</v>
      </c>
      <c r="F32" s="161" t="s">
        <v>37</v>
      </c>
      <c r="G32" s="162" t="s">
        <v>28</v>
      </c>
      <c r="H32" s="162" t="s">
        <v>34</v>
      </c>
      <c r="I32" s="161" t="s">
        <v>26</v>
      </c>
      <c r="J32" s="160" t="s">
        <v>159</v>
      </c>
      <c r="K32" s="160" t="s">
        <v>160</v>
      </c>
      <c r="L32" s="160" t="s">
        <v>161</v>
      </c>
      <c r="M32" s="160" t="s">
        <v>247</v>
      </c>
      <c r="N32" s="161" t="s">
        <v>29</v>
      </c>
      <c r="O32" s="160" t="s">
        <v>315</v>
      </c>
      <c r="P32" s="160" t="s">
        <v>315</v>
      </c>
      <c r="Q32" s="163" t="s">
        <v>343</v>
      </c>
      <c r="R32" s="161" t="s">
        <v>280</v>
      </c>
      <c r="S32" s="160" t="s">
        <v>99</v>
      </c>
      <c r="T32" s="160" t="s">
        <v>249</v>
      </c>
      <c r="U32" s="161">
        <v>2024</v>
      </c>
      <c r="V32" s="164"/>
      <c r="W32" s="161">
        <v>2</v>
      </c>
      <c r="X32" s="161" t="s">
        <v>32</v>
      </c>
      <c r="Y32" s="165" t="s">
        <v>313</v>
      </c>
      <c r="Z32" s="160">
        <v>727367</v>
      </c>
      <c r="AA32" s="167"/>
    </row>
    <row r="33" spans="1:27" x14ac:dyDescent="0.25">
      <c r="A33" s="140">
        <v>32</v>
      </c>
      <c r="B33" s="166" t="s">
        <v>587</v>
      </c>
      <c r="C33" s="143" t="s">
        <v>27</v>
      </c>
      <c r="D33" s="143" t="s">
        <v>530</v>
      </c>
      <c r="E33" s="143">
        <v>50629</v>
      </c>
      <c r="F33" s="143" t="s">
        <v>37</v>
      </c>
      <c r="G33" s="144" t="s">
        <v>28</v>
      </c>
      <c r="H33" s="144" t="s">
        <v>34</v>
      </c>
      <c r="I33" s="143" t="s">
        <v>26</v>
      </c>
      <c r="J33" s="155" t="s">
        <v>531</v>
      </c>
      <c r="K33" s="145" t="s">
        <v>532</v>
      </c>
      <c r="L33" s="145" t="s">
        <v>533</v>
      </c>
      <c r="M33" s="169" t="s">
        <v>610</v>
      </c>
      <c r="N33" s="143" t="s">
        <v>29</v>
      </c>
      <c r="O33" s="143" t="s">
        <v>30</v>
      </c>
      <c r="P33" s="145" t="s">
        <v>358</v>
      </c>
      <c r="Q33" s="147" t="s">
        <v>878</v>
      </c>
      <c r="R33" s="143" t="s">
        <v>653</v>
      </c>
      <c r="S33" s="155" t="s">
        <v>631</v>
      </c>
      <c r="T33" s="145" t="s">
        <v>31</v>
      </c>
      <c r="U33" s="143">
        <v>2023</v>
      </c>
      <c r="V33" s="155">
        <v>483.5</v>
      </c>
      <c r="W33" s="145">
        <v>3</v>
      </c>
      <c r="X33" s="143" t="s">
        <v>189</v>
      </c>
      <c r="Y33" s="145" t="s">
        <v>696</v>
      </c>
      <c r="Z33" s="145">
        <v>4502649</v>
      </c>
      <c r="AA33" s="169" t="s">
        <v>673</v>
      </c>
    </row>
    <row r="34" spans="1:27" ht="15.75" thickBot="1" x14ac:dyDescent="0.3">
      <c r="A34" s="159">
        <v>33</v>
      </c>
      <c r="B34" s="166" t="s">
        <v>588</v>
      </c>
      <c r="C34" s="143" t="s">
        <v>27</v>
      </c>
      <c r="D34" s="143" t="s">
        <v>530</v>
      </c>
      <c r="E34" s="143">
        <v>50629</v>
      </c>
      <c r="F34" s="143" t="s">
        <v>37</v>
      </c>
      <c r="G34" s="144" t="s">
        <v>28</v>
      </c>
      <c r="H34" s="144" t="s">
        <v>34</v>
      </c>
      <c r="I34" s="143" t="s">
        <v>26</v>
      </c>
      <c r="J34" s="155" t="s">
        <v>534</v>
      </c>
      <c r="K34" s="145" t="s">
        <v>535</v>
      </c>
      <c r="L34" s="145" t="s">
        <v>536</v>
      </c>
      <c r="M34" s="169" t="s">
        <v>611</v>
      </c>
      <c r="N34" s="143" t="s">
        <v>29</v>
      </c>
      <c r="O34" s="143" t="s">
        <v>30</v>
      </c>
      <c r="P34" s="145" t="s">
        <v>358</v>
      </c>
      <c r="Q34" s="147" t="s">
        <v>862</v>
      </c>
      <c r="R34" s="143" t="s">
        <v>654</v>
      </c>
      <c r="S34" s="155" t="s">
        <v>632</v>
      </c>
      <c r="T34" s="145" t="s">
        <v>31</v>
      </c>
      <c r="U34" s="143">
        <v>2023</v>
      </c>
      <c r="V34" s="155">
        <v>424.6</v>
      </c>
      <c r="W34" s="145">
        <v>3</v>
      </c>
      <c r="X34" s="143" t="s">
        <v>189</v>
      </c>
      <c r="Y34" s="145" t="s">
        <v>696</v>
      </c>
      <c r="Z34" s="145">
        <v>4525936</v>
      </c>
      <c r="AA34" s="169" t="s">
        <v>674</v>
      </c>
    </row>
    <row r="35" spans="1:27" x14ac:dyDescent="0.25">
      <c r="A35" s="140">
        <v>34</v>
      </c>
      <c r="B35" s="166" t="s">
        <v>589</v>
      </c>
      <c r="C35" s="143" t="s">
        <v>27</v>
      </c>
      <c r="D35" s="143" t="s">
        <v>530</v>
      </c>
      <c r="E35" s="143">
        <v>50629</v>
      </c>
      <c r="F35" s="143" t="s">
        <v>37</v>
      </c>
      <c r="G35" s="144" t="s">
        <v>28</v>
      </c>
      <c r="H35" s="144" t="s">
        <v>34</v>
      </c>
      <c r="I35" s="143" t="s">
        <v>26</v>
      </c>
      <c r="J35" s="155" t="s">
        <v>562</v>
      </c>
      <c r="K35" s="145" t="s">
        <v>563</v>
      </c>
      <c r="L35" s="145" t="s">
        <v>537</v>
      </c>
      <c r="M35" s="169" t="s">
        <v>612</v>
      </c>
      <c r="N35" s="143" t="s">
        <v>29</v>
      </c>
      <c r="O35" s="143" t="s">
        <v>30</v>
      </c>
      <c r="P35" s="145" t="s">
        <v>358</v>
      </c>
      <c r="Q35" s="147" t="s">
        <v>875</v>
      </c>
      <c r="R35" s="143" t="s">
        <v>655</v>
      </c>
      <c r="S35" s="155" t="s">
        <v>633</v>
      </c>
      <c r="T35" s="145" t="s">
        <v>31</v>
      </c>
      <c r="U35" s="143">
        <v>2023</v>
      </c>
      <c r="V35" s="155">
        <v>592.20000000000005</v>
      </c>
      <c r="W35" s="145">
        <v>3</v>
      </c>
      <c r="X35" s="143" t="s">
        <v>189</v>
      </c>
      <c r="Y35" s="145" t="s">
        <v>696</v>
      </c>
      <c r="Z35" s="145">
        <v>3426209</v>
      </c>
      <c r="AA35" s="169" t="s">
        <v>675</v>
      </c>
    </row>
    <row r="36" spans="1:27" ht="15.75" thickBot="1" x14ac:dyDescent="0.3">
      <c r="A36" s="159">
        <v>35</v>
      </c>
      <c r="B36" s="166" t="s">
        <v>590</v>
      </c>
      <c r="C36" s="143" t="s">
        <v>27</v>
      </c>
      <c r="D36" s="143" t="s">
        <v>530</v>
      </c>
      <c r="E36" s="143">
        <v>50629</v>
      </c>
      <c r="F36" s="143" t="s">
        <v>37</v>
      </c>
      <c r="G36" s="144" t="s">
        <v>28</v>
      </c>
      <c r="H36" s="144" t="s">
        <v>34</v>
      </c>
      <c r="I36" s="143" t="s">
        <v>26</v>
      </c>
      <c r="J36" s="155" t="s">
        <v>564</v>
      </c>
      <c r="K36" s="145" t="s">
        <v>565</v>
      </c>
      <c r="L36" s="145" t="s">
        <v>538</v>
      </c>
      <c r="M36" s="169" t="s">
        <v>613</v>
      </c>
      <c r="N36" s="143" t="s">
        <v>248</v>
      </c>
      <c r="O36" s="143" t="s">
        <v>30</v>
      </c>
      <c r="P36" s="145" t="s">
        <v>358</v>
      </c>
      <c r="Q36" s="147" t="s">
        <v>882</v>
      </c>
      <c r="R36" s="143" t="s">
        <v>656</v>
      </c>
      <c r="S36" s="155" t="s">
        <v>634</v>
      </c>
      <c r="T36" s="145" t="s">
        <v>31</v>
      </c>
      <c r="U36" s="143">
        <v>2023</v>
      </c>
      <c r="V36" s="155">
        <v>421.7</v>
      </c>
      <c r="W36" s="145">
        <v>3</v>
      </c>
      <c r="X36" s="143" t="s">
        <v>189</v>
      </c>
      <c r="Y36" s="145" t="s">
        <v>696</v>
      </c>
      <c r="Z36" s="145">
        <v>4238306</v>
      </c>
      <c r="AA36" s="169" t="s">
        <v>676</v>
      </c>
    </row>
    <row r="37" spans="1:27" x14ac:dyDescent="0.25">
      <c r="A37" s="140">
        <v>36</v>
      </c>
      <c r="B37" s="166" t="s">
        <v>591</v>
      </c>
      <c r="C37" s="143" t="s">
        <v>27</v>
      </c>
      <c r="D37" s="143" t="s">
        <v>530</v>
      </c>
      <c r="E37" s="143">
        <v>50629</v>
      </c>
      <c r="F37" s="143" t="s">
        <v>37</v>
      </c>
      <c r="G37" s="144" t="s">
        <v>28</v>
      </c>
      <c r="H37" s="144" t="s">
        <v>34</v>
      </c>
      <c r="I37" s="143" t="s">
        <v>26</v>
      </c>
      <c r="J37" s="145" t="s">
        <v>566</v>
      </c>
      <c r="K37" s="145" t="s">
        <v>567</v>
      </c>
      <c r="L37" s="145" t="s">
        <v>568</v>
      </c>
      <c r="M37" s="169" t="s">
        <v>614</v>
      </c>
      <c r="N37" s="143" t="s">
        <v>29</v>
      </c>
      <c r="O37" s="143" t="s">
        <v>30</v>
      </c>
      <c r="P37" s="145" t="s">
        <v>358</v>
      </c>
      <c r="Q37" s="147" t="s">
        <v>873</v>
      </c>
      <c r="R37" s="143" t="s">
        <v>657</v>
      </c>
      <c r="S37" s="145" t="s">
        <v>635</v>
      </c>
      <c r="T37" s="145" t="s">
        <v>31</v>
      </c>
      <c r="U37" s="143">
        <v>2023</v>
      </c>
      <c r="V37" s="155">
        <v>446.1</v>
      </c>
      <c r="W37" s="145">
        <v>3</v>
      </c>
      <c r="X37" s="143" t="s">
        <v>189</v>
      </c>
      <c r="Y37" s="145" t="s">
        <v>696</v>
      </c>
      <c r="Z37" s="145">
        <v>4087762</v>
      </c>
      <c r="AA37" s="169" t="s">
        <v>677</v>
      </c>
    </row>
    <row r="38" spans="1:27" ht="15.75" thickBot="1" x14ac:dyDescent="0.3">
      <c r="A38" s="159">
        <v>37</v>
      </c>
      <c r="B38" s="166" t="s">
        <v>592</v>
      </c>
      <c r="C38" s="143" t="s">
        <v>27</v>
      </c>
      <c r="D38" s="143" t="s">
        <v>530</v>
      </c>
      <c r="E38" s="143">
        <v>50629</v>
      </c>
      <c r="F38" s="143" t="s">
        <v>37</v>
      </c>
      <c r="G38" s="144" t="s">
        <v>28</v>
      </c>
      <c r="H38" s="144" t="s">
        <v>34</v>
      </c>
      <c r="I38" s="143" t="s">
        <v>26</v>
      </c>
      <c r="J38" s="145" t="s">
        <v>163</v>
      </c>
      <c r="K38" s="145" t="s">
        <v>539</v>
      </c>
      <c r="L38" s="145" t="s">
        <v>540</v>
      </c>
      <c r="M38" s="169" t="s">
        <v>615</v>
      </c>
      <c r="N38" s="143" t="s">
        <v>29</v>
      </c>
      <c r="O38" s="143" t="s">
        <v>30</v>
      </c>
      <c r="P38" s="145" t="s">
        <v>358</v>
      </c>
      <c r="Q38" s="179" t="s">
        <v>863</v>
      </c>
      <c r="R38" s="143" t="s">
        <v>658</v>
      </c>
      <c r="S38" s="145" t="s">
        <v>636</v>
      </c>
      <c r="T38" s="145" t="s">
        <v>31</v>
      </c>
      <c r="U38" s="143">
        <v>2023</v>
      </c>
      <c r="V38" s="155">
        <v>492.4</v>
      </c>
      <c r="W38" s="145">
        <v>3</v>
      </c>
      <c r="X38" s="143" t="s">
        <v>189</v>
      </c>
      <c r="Y38" s="145" t="s">
        <v>696</v>
      </c>
      <c r="Z38" s="145">
        <v>3790423</v>
      </c>
      <c r="AA38" s="169" t="s">
        <v>678</v>
      </c>
    </row>
    <row r="39" spans="1:27" x14ac:dyDescent="0.25">
      <c r="A39" s="140">
        <v>38</v>
      </c>
      <c r="B39" s="166" t="s">
        <v>593</v>
      </c>
      <c r="C39" s="143" t="s">
        <v>27</v>
      </c>
      <c r="D39" s="143" t="s">
        <v>530</v>
      </c>
      <c r="E39" s="143">
        <v>50629</v>
      </c>
      <c r="F39" s="143" t="s">
        <v>37</v>
      </c>
      <c r="G39" s="144" t="s">
        <v>28</v>
      </c>
      <c r="H39" s="144" t="s">
        <v>34</v>
      </c>
      <c r="I39" s="143" t="s">
        <v>26</v>
      </c>
      <c r="J39" s="145" t="s">
        <v>569</v>
      </c>
      <c r="K39" s="145" t="s">
        <v>570</v>
      </c>
      <c r="L39" s="145" t="s">
        <v>541</v>
      </c>
      <c r="M39" s="169" t="s">
        <v>616</v>
      </c>
      <c r="N39" s="143" t="s">
        <v>29</v>
      </c>
      <c r="O39" s="143" t="s">
        <v>30</v>
      </c>
      <c r="P39" s="145" t="s">
        <v>358</v>
      </c>
      <c r="Q39" s="179" t="s">
        <v>864</v>
      </c>
      <c r="R39" s="143" t="s">
        <v>659</v>
      </c>
      <c r="S39" s="145" t="s">
        <v>637</v>
      </c>
      <c r="T39" s="145" t="s">
        <v>31</v>
      </c>
      <c r="U39" s="143">
        <v>2023</v>
      </c>
      <c r="V39" s="155">
        <v>479.4</v>
      </c>
      <c r="W39" s="145">
        <v>3</v>
      </c>
      <c r="X39" s="143" t="s">
        <v>189</v>
      </c>
      <c r="Y39" s="145" t="s">
        <v>696</v>
      </c>
      <c r="Z39" s="145">
        <v>3737828</v>
      </c>
      <c r="AA39" s="169" t="s">
        <v>679</v>
      </c>
    </row>
    <row r="40" spans="1:27" ht="15.75" thickBot="1" x14ac:dyDescent="0.3">
      <c r="A40" s="159">
        <v>39</v>
      </c>
      <c r="B40" s="166" t="s">
        <v>594</v>
      </c>
      <c r="C40" s="143" t="s">
        <v>27</v>
      </c>
      <c r="D40" s="143" t="s">
        <v>530</v>
      </c>
      <c r="E40" s="143">
        <v>50629</v>
      </c>
      <c r="F40" s="143" t="s">
        <v>37</v>
      </c>
      <c r="G40" s="144" t="s">
        <v>28</v>
      </c>
      <c r="H40" s="144" t="s">
        <v>34</v>
      </c>
      <c r="I40" s="143" t="s">
        <v>26</v>
      </c>
      <c r="J40" s="145" t="s">
        <v>571</v>
      </c>
      <c r="K40" s="145" t="s">
        <v>540</v>
      </c>
      <c r="L40" s="145" t="s">
        <v>187</v>
      </c>
      <c r="M40" s="169" t="s">
        <v>617</v>
      </c>
      <c r="N40" s="143" t="s">
        <v>29</v>
      </c>
      <c r="O40" s="143" t="s">
        <v>30</v>
      </c>
      <c r="P40" s="145" t="s">
        <v>358</v>
      </c>
      <c r="Q40" s="179" t="s">
        <v>865</v>
      </c>
      <c r="R40" s="143" t="s">
        <v>660</v>
      </c>
      <c r="S40" s="145" t="s">
        <v>638</v>
      </c>
      <c r="T40" s="145" t="s">
        <v>31</v>
      </c>
      <c r="U40" s="143">
        <v>2023</v>
      </c>
      <c r="V40" s="155">
        <v>473.8</v>
      </c>
      <c r="W40" s="145">
        <v>3</v>
      </c>
      <c r="X40" s="143" t="s">
        <v>189</v>
      </c>
      <c r="Y40" s="145" t="s">
        <v>696</v>
      </c>
      <c r="Z40" s="145">
        <v>3582155</v>
      </c>
      <c r="AA40" s="169" t="s">
        <v>680</v>
      </c>
    </row>
    <row r="41" spans="1:27" x14ac:dyDescent="0.25">
      <c r="A41" s="140">
        <v>40</v>
      </c>
      <c r="B41" s="166" t="s">
        <v>595</v>
      </c>
      <c r="C41" s="143" t="s">
        <v>27</v>
      </c>
      <c r="D41" s="143" t="s">
        <v>530</v>
      </c>
      <c r="E41" s="143">
        <v>50629</v>
      </c>
      <c r="F41" s="143" t="s">
        <v>37</v>
      </c>
      <c r="G41" s="144" t="s">
        <v>28</v>
      </c>
      <c r="H41" s="144" t="s">
        <v>34</v>
      </c>
      <c r="I41" s="143" t="s">
        <v>26</v>
      </c>
      <c r="J41" s="145" t="s">
        <v>572</v>
      </c>
      <c r="K41" s="145" t="s">
        <v>542</v>
      </c>
      <c r="L41" s="145" t="s">
        <v>543</v>
      </c>
      <c r="M41" s="169" t="s">
        <v>618</v>
      </c>
      <c r="N41" s="143" t="s">
        <v>29</v>
      </c>
      <c r="O41" s="143" t="s">
        <v>30</v>
      </c>
      <c r="P41" s="145" t="s">
        <v>358</v>
      </c>
      <c r="Q41" s="147" t="s">
        <v>872</v>
      </c>
      <c r="R41" s="143" t="s">
        <v>661</v>
      </c>
      <c r="S41" s="145" t="s">
        <v>639</v>
      </c>
      <c r="T41" s="145" t="s">
        <v>31</v>
      </c>
      <c r="U41" s="143">
        <v>2023</v>
      </c>
      <c r="V41" s="155">
        <v>466.3</v>
      </c>
      <c r="W41" s="145">
        <v>3</v>
      </c>
      <c r="X41" s="143" t="s">
        <v>189</v>
      </c>
      <c r="Y41" s="145" t="s">
        <v>696</v>
      </c>
      <c r="Z41" s="145">
        <v>4755624</v>
      </c>
      <c r="AA41" s="169" t="s">
        <v>681</v>
      </c>
    </row>
    <row r="42" spans="1:27" ht="15.75" thickBot="1" x14ac:dyDescent="0.3">
      <c r="A42" s="159">
        <v>41</v>
      </c>
      <c r="B42" s="166" t="s">
        <v>596</v>
      </c>
      <c r="C42" s="143" t="s">
        <v>27</v>
      </c>
      <c r="D42" s="143" t="s">
        <v>530</v>
      </c>
      <c r="E42" s="143">
        <v>50629</v>
      </c>
      <c r="F42" s="143" t="s">
        <v>37</v>
      </c>
      <c r="G42" s="144" t="s">
        <v>28</v>
      </c>
      <c r="H42" s="144" t="s">
        <v>34</v>
      </c>
      <c r="I42" s="143" t="s">
        <v>26</v>
      </c>
      <c r="J42" s="145" t="s">
        <v>166</v>
      </c>
      <c r="K42" s="145" t="s">
        <v>573</v>
      </c>
      <c r="L42" s="145" t="s">
        <v>544</v>
      </c>
      <c r="M42" s="169" t="s">
        <v>619</v>
      </c>
      <c r="N42" s="143" t="s">
        <v>29</v>
      </c>
      <c r="O42" s="143" t="s">
        <v>30</v>
      </c>
      <c r="P42" s="145" t="s">
        <v>358</v>
      </c>
      <c r="Q42" s="147" t="s">
        <v>879</v>
      </c>
      <c r="R42" s="143" t="s">
        <v>662</v>
      </c>
      <c r="S42" s="145" t="s">
        <v>640</v>
      </c>
      <c r="T42" s="145" t="s">
        <v>31</v>
      </c>
      <c r="U42" s="143">
        <v>2023</v>
      </c>
      <c r="V42" s="155">
        <v>452.8</v>
      </c>
      <c r="W42" s="145">
        <v>3</v>
      </c>
      <c r="X42" s="143" t="s">
        <v>189</v>
      </c>
      <c r="Y42" s="145" t="s">
        <v>696</v>
      </c>
      <c r="Z42" s="145">
        <v>4488892</v>
      </c>
      <c r="AA42" s="169" t="s">
        <v>682</v>
      </c>
    </row>
    <row r="43" spans="1:27" ht="15.75" thickBot="1" x14ac:dyDescent="0.3">
      <c r="A43" s="159">
        <v>43</v>
      </c>
      <c r="B43" s="166" t="s">
        <v>597</v>
      </c>
      <c r="C43" s="143" t="s">
        <v>27</v>
      </c>
      <c r="D43" s="143" t="s">
        <v>530</v>
      </c>
      <c r="E43" s="143">
        <v>50629</v>
      </c>
      <c r="F43" s="143" t="s">
        <v>37</v>
      </c>
      <c r="G43" s="144" t="s">
        <v>28</v>
      </c>
      <c r="H43" s="144" t="s">
        <v>34</v>
      </c>
      <c r="I43" s="143" t="s">
        <v>26</v>
      </c>
      <c r="J43" s="145" t="s">
        <v>546</v>
      </c>
      <c r="K43" s="145" t="s">
        <v>547</v>
      </c>
      <c r="L43" s="145" t="s">
        <v>561</v>
      </c>
      <c r="M43" s="169" t="s">
        <v>620</v>
      </c>
      <c r="N43" s="143" t="s">
        <v>29</v>
      </c>
      <c r="O43" s="143" t="s">
        <v>30</v>
      </c>
      <c r="P43" s="145" t="s">
        <v>358</v>
      </c>
      <c r="Q43" s="147" t="s">
        <v>866</v>
      </c>
      <c r="R43" s="143" t="s">
        <v>663</v>
      </c>
      <c r="S43" s="145" t="s">
        <v>641</v>
      </c>
      <c r="T43" s="145" t="s">
        <v>31</v>
      </c>
      <c r="U43" s="143">
        <v>2023</v>
      </c>
      <c r="V43" s="155">
        <v>433.4</v>
      </c>
      <c r="W43" s="145">
        <v>3</v>
      </c>
      <c r="X43" s="143" t="s">
        <v>189</v>
      </c>
      <c r="Y43" s="145" t="s">
        <v>696</v>
      </c>
      <c r="Z43" s="145">
        <v>4057205</v>
      </c>
      <c r="AA43" s="169" t="s">
        <v>683</v>
      </c>
    </row>
    <row r="44" spans="1:27" x14ac:dyDescent="0.25">
      <c r="A44" s="140">
        <v>44</v>
      </c>
      <c r="B44" s="166" t="s">
        <v>598</v>
      </c>
      <c r="C44" s="143" t="s">
        <v>27</v>
      </c>
      <c r="D44" s="143" t="s">
        <v>530</v>
      </c>
      <c r="E44" s="143">
        <v>50629</v>
      </c>
      <c r="F44" s="143" t="s">
        <v>37</v>
      </c>
      <c r="G44" s="144" t="s">
        <v>28</v>
      </c>
      <c r="H44" s="144" t="s">
        <v>34</v>
      </c>
      <c r="I44" s="143" t="s">
        <v>26</v>
      </c>
      <c r="J44" s="145" t="s">
        <v>574</v>
      </c>
      <c r="K44" s="145" t="s">
        <v>575</v>
      </c>
      <c r="L44" s="145" t="s">
        <v>548</v>
      </c>
      <c r="M44" s="169" t="s">
        <v>621</v>
      </c>
      <c r="N44" s="143" t="s">
        <v>248</v>
      </c>
      <c r="O44" s="143" t="s">
        <v>30</v>
      </c>
      <c r="P44" s="145" t="s">
        <v>358</v>
      </c>
      <c r="Q44" s="147" t="s">
        <v>877</v>
      </c>
      <c r="R44" s="143" t="s">
        <v>664</v>
      </c>
      <c r="S44" s="145" t="s">
        <v>642</v>
      </c>
      <c r="T44" s="145" t="s">
        <v>31</v>
      </c>
      <c r="U44" s="143">
        <v>2023</v>
      </c>
      <c r="V44" s="155">
        <v>437.2</v>
      </c>
      <c r="W44" s="145">
        <v>3</v>
      </c>
      <c r="X44" s="143" t="s">
        <v>189</v>
      </c>
      <c r="Y44" s="145" t="s">
        <v>696</v>
      </c>
      <c r="Z44" s="145">
        <v>3442199</v>
      </c>
      <c r="AA44" s="169" t="s">
        <v>684</v>
      </c>
    </row>
    <row r="45" spans="1:27" ht="15.75" thickBot="1" x14ac:dyDescent="0.3">
      <c r="A45" s="159">
        <v>45</v>
      </c>
      <c r="B45" s="166" t="s">
        <v>599</v>
      </c>
      <c r="C45" s="143" t="s">
        <v>27</v>
      </c>
      <c r="D45" s="143" t="s">
        <v>530</v>
      </c>
      <c r="E45" s="143">
        <v>50629</v>
      </c>
      <c r="F45" s="143" t="s">
        <v>37</v>
      </c>
      <c r="G45" s="144" t="s">
        <v>28</v>
      </c>
      <c r="H45" s="144" t="s">
        <v>34</v>
      </c>
      <c r="I45" s="143" t="s">
        <v>26</v>
      </c>
      <c r="J45" s="145" t="s">
        <v>169</v>
      </c>
      <c r="K45" s="145" t="s">
        <v>175</v>
      </c>
      <c r="L45" s="145" t="s">
        <v>576</v>
      </c>
      <c r="M45" s="169" t="s">
        <v>622</v>
      </c>
      <c r="N45" s="143" t="s">
        <v>29</v>
      </c>
      <c r="O45" s="143" t="s">
        <v>30</v>
      </c>
      <c r="P45" s="145" t="s">
        <v>358</v>
      </c>
      <c r="Q45" s="179" t="s">
        <v>867</v>
      </c>
      <c r="R45" s="143" t="s">
        <v>665</v>
      </c>
      <c r="S45" s="145" t="s">
        <v>643</v>
      </c>
      <c r="T45" s="145" t="s">
        <v>31</v>
      </c>
      <c r="U45" s="143">
        <v>2023</v>
      </c>
      <c r="V45" s="155">
        <v>469.7</v>
      </c>
      <c r="W45" s="145">
        <v>3</v>
      </c>
      <c r="X45" s="143" t="s">
        <v>189</v>
      </c>
      <c r="Y45" s="145" t="s">
        <v>696</v>
      </c>
      <c r="Z45" s="145">
        <v>4450782</v>
      </c>
      <c r="AA45" s="169" t="s">
        <v>685</v>
      </c>
    </row>
    <row r="46" spans="1:27" x14ac:dyDescent="0.25">
      <c r="A46" s="140">
        <v>46</v>
      </c>
      <c r="B46" s="166" t="s">
        <v>600</v>
      </c>
      <c r="C46" s="143" t="s">
        <v>27</v>
      </c>
      <c r="D46" s="143" t="s">
        <v>530</v>
      </c>
      <c r="E46" s="143">
        <v>50629</v>
      </c>
      <c r="F46" s="143" t="s">
        <v>37</v>
      </c>
      <c r="G46" s="144" t="s">
        <v>28</v>
      </c>
      <c r="H46" s="144" t="s">
        <v>34</v>
      </c>
      <c r="I46" s="143" t="s">
        <v>26</v>
      </c>
      <c r="J46" s="145" t="s">
        <v>577</v>
      </c>
      <c r="K46" s="145" t="s">
        <v>549</v>
      </c>
      <c r="L46" s="145" t="s">
        <v>545</v>
      </c>
      <c r="M46" s="169" t="s">
        <v>623</v>
      </c>
      <c r="N46" s="143" t="s">
        <v>29</v>
      </c>
      <c r="O46" s="143" t="s">
        <v>30</v>
      </c>
      <c r="P46" s="145" t="s">
        <v>358</v>
      </c>
      <c r="Q46" s="179" t="s">
        <v>874</v>
      </c>
      <c r="R46" s="143" t="s">
        <v>666</v>
      </c>
      <c r="S46" s="145" t="s">
        <v>644</v>
      </c>
      <c r="T46" s="145" t="s">
        <v>31</v>
      </c>
      <c r="U46" s="143">
        <v>2023</v>
      </c>
      <c r="V46" s="155">
        <v>462.7</v>
      </c>
      <c r="W46" s="145">
        <v>3</v>
      </c>
      <c r="X46" s="143" t="s">
        <v>189</v>
      </c>
      <c r="Y46" s="145" t="s">
        <v>696</v>
      </c>
      <c r="Z46" s="145">
        <v>4398647</v>
      </c>
      <c r="AA46" s="169" t="s">
        <v>686</v>
      </c>
    </row>
    <row r="47" spans="1:27" ht="15.75" thickBot="1" x14ac:dyDescent="0.3">
      <c r="A47" s="159">
        <v>47</v>
      </c>
      <c r="B47" s="166" t="s">
        <v>601</v>
      </c>
      <c r="C47" s="143" t="s">
        <v>27</v>
      </c>
      <c r="D47" s="143" t="s">
        <v>530</v>
      </c>
      <c r="E47" s="143">
        <v>50629</v>
      </c>
      <c r="F47" s="143" t="s">
        <v>37</v>
      </c>
      <c r="G47" s="144" t="s">
        <v>28</v>
      </c>
      <c r="H47" s="144" t="s">
        <v>34</v>
      </c>
      <c r="I47" s="143" t="s">
        <v>26</v>
      </c>
      <c r="J47" s="145" t="s">
        <v>578</v>
      </c>
      <c r="K47" s="145" t="s">
        <v>579</v>
      </c>
      <c r="L47" s="145" t="s">
        <v>580</v>
      </c>
      <c r="M47" s="169" t="s">
        <v>624</v>
      </c>
      <c r="N47" s="143" t="s">
        <v>29</v>
      </c>
      <c r="O47" s="143" t="s">
        <v>30</v>
      </c>
      <c r="P47" s="145" t="s">
        <v>358</v>
      </c>
      <c r="Q47" s="147" t="s">
        <v>880</v>
      </c>
      <c r="R47" s="143" t="s">
        <v>667</v>
      </c>
      <c r="S47" s="145" t="s">
        <v>645</v>
      </c>
      <c r="T47" s="145" t="s">
        <v>31</v>
      </c>
      <c r="U47" s="143">
        <v>2023</v>
      </c>
      <c r="V47" s="155">
        <v>433.4</v>
      </c>
      <c r="W47" s="145">
        <v>3</v>
      </c>
      <c r="X47" s="143" t="s">
        <v>189</v>
      </c>
      <c r="Y47" s="145" t="s">
        <v>696</v>
      </c>
      <c r="Z47" s="145">
        <v>3196987</v>
      </c>
      <c r="AA47" s="169" t="s">
        <v>687</v>
      </c>
    </row>
    <row r="48" spans="1:27" x14ac:dyDescent="0.25">
      <c r="A48" s="140">
        <v>48</v>
      </c>
      <c r="B48" s="166" t="s">
        <v>602</v>
      </c>
      <c r="C48" s="143" t="s">
        <v>27</v>
      </c>
      <c r="D48" s="143" t="s">
        <v>530</v>
      </c>
      <c r="E48" s="143">
        <v>50629</v>
      </c>
      <c r="F48" s="143" t="s">
        <v>37</v>
      </c>
      <c r="G48" s="144" t="s">
        <v>28</v>
      </c>
      <c r="H48" s="144" t="s">
        <v>34</v>
      </c>
      <c r="I48" s="143" t="s">
        <v>26</v>
      </c>
      <c r="J48" s="145" t="s">
        <v>550</v>
      </c>
      <c r="K48" s="145" t="s">
        <v>535</v>
      </c>
      <c r="L48" s="145" t="s">
        <v>551</v>
      </c>
      <c r="M48" s="169" t="s">
        <v>625</v>
      </c>
      <c r="N48" s="143" t="s">
        <v>29</v>
      </c>
      <c r="O48" s="143" t="s">
        <v>30</v>
      </c>
      <c r="P48" s="145" t="s">
        <v>358</v>
      </c>
      <c r="Q48" s="147" t="s">
        <v>881</v>
      </c>
      <c r="R48" s="143" t="s">
        <v>668</v>
      </c>
      <c r="S48" s="145" t="s">
        <v>646</v>
      </c>
      <c r="T48" s="145" t="s">
        <v>31</v>
      </c>
      <c r="U48" s="143">
        <v>2023</v>
      </c>
      <c r="V48" s="155">
        <v>452.8</v>
      </c>
      <c r="W48" s="145">
        <v>3</v>
      </c>
      <c r="X48" s="143" t="s">
        <v>189</v>
      </c>
      <c r="Y48" s="145" t="s">
        <v>696</v>
      </c>
      <c r="Z48" s="145">
        <v>1912450</v>
      </c>
      <c r="AA48" s="169" t="s">
        <v>688</v>
      </c>
    </row>
    <row r="49" spans="1:27" ht="15.75" thickBot="1" x14ac:dyDescent="0.3">
      <c r="A49" s="159">
        <v>49</v>
      </c>
      <c r="B49" s="166" t="s">
        <v>603</v>
      </c>
      <c r="C49" s="143" t="s">
        <v>27</v>
      </c>
      <c r="D49" s="143" t="s">
        <v>530</v>
      </c>
      <c r="E49" s="143">
        <v>50629</v>
      </c>
      <c r="F49" s="143" t="s">
        <v>37</v>
      </c>
      <c r="G49" s="144" t="s">
        <v>28</v>
      </c>
      <c r="H49" s="144" t="s">
        <v>34</v>
      </c>
      <c r="I49" s="143" t="s">
        <v>26</v>
      </c>
      <c r="J49" s="145" t="s">
        <v>552</v>
      </c>
      <c r="K49" s="145" t="s">
        <v>553</v>
      </c>
      <c r="L49" s="145" t="s">
        <v>586</v>
      </c>
      <c r="M49" s="169" t="s">
        <v>626</v>
      </c>
      <c r="N49" s="143" t="s">
        <v>29</v>
      </c>
      <c r="O49" s="143" t="s">
        <v>30</v>
      </c>
      <c r="P49" s="145" t="s">
        <v>358</v>
      </c>
      <c r="Q49" s="147" t="s">
        <v>871</v>
      </c>
      <c r="R49" s="143" t="s">
        <v>669</v>
      </c>
      <c r="S49" s="145" t="s">
        <v>647</v>
      </c>
      <c r="T49" s="145" t="s">
        <v>31</v>
      </c>
      <c r="U49" s="143">
        <v>2023</v>
      </c>
      <c r="V49" s="155">
        <v>412.2</v>
      </c>
      <c r="W49" s="145">
        <v>3</v>
      </c>
      <c r="X49" s="143" t="s">
        <v>189</v>
      </c>
      <c r="Y49" s="145" t="s">
        <v>696</v>
      </c>
      <c r="Z49" s="145">
        <v>4425604</v>
      </c>
      <c r="AA49" s="169" t="s">
        <v>689</v>
      </c>
    </row>
    <row r="50" spans="1:27" x14ac:dyDescent="0.25">
      <c r="A50" s="140">
        <v>50</v>
      </c>
      <c r="B50" s="166" t="s">
        <v>604</v>
      </c>
      <c r="C50" s="143" t="s">
        <v>27</v>
      </c>
      <c r="D50" s="143" t="s">
        <v>530</v>
      </c>
      <c r="E50" s="143">
        <v>50629</v>
      </c>
      <c r="F50" s="143" t="s">
        <v>37</v>
      </c>
      <c r="G50" s="144" t="s">
        <v>28</v>
      </c>
      <c r="H50" s="144" t="s">
        <v>34</v>
      </c>
      <c r="I50" s="143" t="s">
        <v>26</v>
      </c>
      <c r="J50" s="145" t="s">
        <v>581</v>
      </c>
      <c r="K50" s="145" t="s">
        <v>554</v>
      </c>
      <c r="L50" s="145" t="s">
        <v>567</v>
      </c>
      <c r="M50" s="169" t="s">
        <v>627</v>
      </c>
      <c r="N50" s="143" t="s">
        <v>248</v>
      </c>
      <c r="O50" s="143" t="s">
        <v>30</v>
      </c>
      <c r="P50" s="145" t="s">
        <v>358</v>
      </c>
      <c r="Q50" s="179" t="s">
        <v>868</v>
      </c>
      <c r="R50" s="143" t="s">
        <v>670</v>
      </c>
      <c r="S50" s="145" t="s">
        <v>648</v>
      </c>
      <c r="T50" s="145" t="s">
        <v>31</v>
      </c>
      <c r="U50" s="143">
        <v>2023</v>
      </c>
      <c r="V50" s="155">
        <v>458.7</v>
      </c>
      <c r="W50" s="145">
        <v>3</v>
      </c>
      <c r="X50" s="143" t="s">
        <v>189</v>
      </c>
      <c r="Y50" s="145" t="s">
        <v>696</v>
      </c>
      <c r="Z50" s="145">
        <v>4274536</v>
      </c>
      <c r="AA50" s="169" t="s">
        <v>690</v>
      </c>
    </row>
    <row r="51" spans="1:27" x14ac:dyDescent="0.25">
      <c r="A51" s="140">
        <v>52</v>
      </c>
      <c r="B51" s="166" t="s">
        <v>605</v>
      </c>
      <c r="C51" s="143" t="s">
        <v>27</v>
      </c>
      <c r="D51" s="143" t="s">
        <v>530</v>
      </c>
      <c r="E51" s="143">
        <v>50629</v>
      </c>
      <c r="F51" s="143" t="s">
        <v>37</v>
      </c>
      <c r="G51" s="144" t="s">
        <v>28</v>
      </c>
      <c r="H51" s="144" t="s">
        <v>34</v>
      </c>
      <c r="I51" s="143" t="s">
        <v>26</v>
      </c>
      <c r="J51" s="145" t="s">
        <v>555</v>
      </c>
      <c r="K51" s="145" t="s">
        <v>545</v>
      </c>
      <c r="L51" s="145" t="s">
        <v>140</v>
      </c>
      <c r="M51" s="169" t="s">
        <v>617</v>
      </c>
      <c r="N51" s="143" t="s">
        <v>29</v>
      </c>
      <c r="O51" s="143" t="s">
        <v>30</v>
      </c>
      <c r="P51" s="145" t="s">
        <v>358</v>
      </c>
      <c r="Q51" s="179" t="s">
        <v>869</v>
      </c>
      <c r="R51" s="143" t="s">
        <v>890</v>
      </c>
      <c r="S51" s="127" t="s">
        <v>649</v>
      </c>
      <c r="T51" s="145" t="s">
        <v>31</v>
      </c>
      <c r="U51" s="143">
        <v>2023</v>
      </c>
      <c r="V51" s="155">
        <v>412.1</v>
      </c>
      <c r="W51" s="145">
        <v>3</v>
      </c>
      <c r="X51" s="143" t="s">
        <v>189</v>
      </c>
      <c r="Y51" s="145" t="s">
        <v>696</v>
      </c>
      <c r="Z51" s="145">
        <v>4347812</v>
      </c>
      <c r="AA51" s="155" t="s">
        <v>691</v>
      </c>
    </row>
    <row r="52" spans="1:27" ht="15.75" thickBot="1" x14ac:dyDescent="0.3">
      <c r="A52" s="159">
        <v>53</v>
      </c>
      <c r="B52" s="166" t="s">
        <v>606</v>
      </c>
      <c r="C52" s="143" t="s">
        <v>27</v>
      </c>
      <c r="D52" s="143" t="s">
        <v>530</v>
      </c>
      <c r="E52" s="143">
        <v>50629</v>
      </c>
      <c r="F52" s="143" t="s">
        <v>37</v>
      </c>
      <c r="G52" s="144" t="s">
        <v>28</v>
      </c>
      <c r="H52" s="144" t="s">
        <v>34</v>
      </c>
      <c r="I52" s="143" t="s">
        <v>26</v>
      </c>
      <c r="J52" s="145" t="s">
        <v>556</v>
      </c>
      <c r="K52" s="145" t="s">
        <v>557</v>
      </c>
      <c r="L52" s="145" t="s">
        <v>558</v>
      </c>
      <c r="M52" s="169" t="s">
        <v>628</v>
      </c>
      <c r="N52" s="143" t="s">
        <v>29</v>
      </c>
      <c r="O52" s="143" t="s">
        <v>30</v>
      </c>
      <c r="P52" s="145" t="s">
        <v>358</v>
      </c>
      <c r="Q52" s="179" t="s">
        <v>870</v>
      </c>
      <c r="R52" s="143" t="s">
        <v>891</v>
      </c>
      <c r="S52" s="127" t="s">
        <v>650</v>
      </c>
      <c r="T52" s="145" t="s">
        <v>31</v>
      </c>
      <c r="U52" s="143">
        <v>2023</v>
      </c>
      <c r="V52" s="155">
        <v>56</v>
      </c>
      <c r="W52" s="145">
        <v>3</v>
      </c>
      <c r="X52" s="143" t="s">
        <v>189</v>
      </c>
      <c r="Y52" s="145" t="s">
        <v>696</v>
      </c>
      <c r="Z52" s="145">
        <v>4890720</v>
      </c>
      <c r="AA52" s="155" t="s">
        <v>692</v>
      </c>
    </row>
    <row r="53" spans="1:27" x14ac:dyDescent="0.25">
      <c r="A53" s="140">
        <v>54</v>
      </c>
      <c r="B53" s="166" t="s">
        <v>607</v>
      </c>
      <c r="C53" s="143" t="s">
        <v>27</v>
      </c>
      <c r="D53" s="143" t="s">
        <v>530</v>
      </c>
      <c r="E53" s="143">
        <v>50629</v>
      </c>
      <c r="F53" s="143" t="s">
        <v>37</v>
      </c>
      <c r="G53" s="144" t="s">
        <v>28</v>
      </c>
      <c r="H53" s="144" t="s">
        <v>34</v>
      </c>
      <c r="I53" s="143" t="s">
        <v>26</v>
      </c>
      <c r="J53" s="145" t="s">
        <v>582</v>
      </c>
      <c r="K53" s="145" t="s">
        <v>585</v>
      </c>
      <c r="L53" s="145" t="s">
        <v>584</v>
      </c>
      <c r="M53" s="169" t="s">
        <v>629</v>
      </c>
      <c r="N53" s="143" t="s">
        <v>29</v>
      </c>
      <c r="O53" s="143" t="s">
        <v>30</v>
      </c>
      <c r="P53" s="145" t="s">
        <v>358</v>
      </c>
      <c r="Q53" s="147" t="s">
        <v>859</v>
      </c>
      <c r="R53" s="143" t="s">
        <v>671</v>
      </c>
      <c r="S53" s="145" t="s">
        <v>651</v>
      </c>
      <c r="T53" s="145" t="s">
        <v>31</v>
      </c>
      <c r="U53" s="143">
        <v>2023</v>
      </c>
      <c r="V53" s="155">
        <v>490.2</v>
      </c>
      <c r="W53" s="145">
        <v>3</v>
      </c>
      <c r="X53" s="143" t="s">
        <v>189</v>
      </c>
      <c r="Y53" s="145" t="s">
        <v>696</v>
      </c>
      <c r="Z53" s="145">
        <v>4451735</v>
      </c>
      <c r="AA53" s="155" t="s">
        <v>693</v>
      </c>
    </row>
    <row r="54" spans="1:27" ht="15.75" thickBot="1" x14ac:dyDescent="0.3">
      <c r="A54" s="159">
        <v>55</v>
      </c>
      <c r="B54" s="166" t="s">
        <v>608</v>
      </c>
      <c r="C54" s="143" t="s">
        <v>27</v>
      </c>
      <c r="D54" s="143" t="s">
        <v>530</v>
      </c>
      <c r="E54" s="143">
        <v>50629</v>
      </c>
      <c r="F54" s="143" t="s">
        <v>37</v>
      </c>
      <c r="G54" s="144" t="s">
        <v>28</v>
      </c>
      <c r="H54" s="144" t="s">
        <v>34</v>
      </c>
      <c r="I54" s="143" t="s">
        <v>26</v>
      </c>
      <c r="J54" s="145" t="s">
        <v>583</v>
      </c>
      <c r="K54" s="145" t="s">
        <v>560</v>
      </c>
      <c r="L54" s="145" t="s">
        <v>123</v>
      </c>
      <c r="M54" s="169" t="s">
        <v>630</v>
      </c>
      <c r="N54" s="143" t="s">
        <v>29</v>
      </c>
      <c r="O54" s="143" t="s">
        <v>30</v>
      </c>
      <c r="P54" s="145" t="s">
        <v>358</v>
      </c>
      <c r="Q54" s="147" t="s">
        <v>860</v>
      </c>
      <c r="R54" s="143" t="s">
        <v>672</v>
      </c>
      <c r="S54" s="145" t="s">
        <v>652</v>
      </c>
      <c r="T54" s="145" t="s">
        <v>31</v>
      </c>
      <c r="U54" s="143">
        <v>2023</v>
      </c>
      <c r="V54" s="155">
        <v>432.1</v>
      </c>
      <c r="W54" s="145">
        <v>3</v>
      </c>
      <c r="X54" s="143" t="s">
        <v>189</v>
      </c>
      <c r="Y54" s="145" t="s">
        <v>696</v>
      </c>
      <c r="Z54" s="145">
        <v>2645212</v>
      </c>
      <c r="AA54" s="155" t="s">
        <v>694</v>
      </c>
    </row>
    <row r="55" spans="1:27" x14ac:dyDescent="0.25">
      <c r="A55" s="140">
        <v>56</v>
      </c>
      <c r="B55" s="145" t="s">
        <v>793</v>
      </c>
      <c r="C55" s="143" t="s">
        <v>27</v>
      </c>
      <c r="D55" s="145" t="s">
        <v>698</v>
      </c>
      <c r="E55" s="143">
        <v>50629</v>
      </c>
      <c r="F55" s="143" t="s">
        <v>37</v>
      </c>
      <c r="G55" s="144" t="s">
        <v>28</v>
      </c>
      <c r="H55" s="144" t="s">
        <v>34</v>
      </c>
      <c r="I55" s="143" t="s">
        <v>26</v>
      </c>
      <c r="J55" s="145" t="s">
        <v>699</v>
      </c>
      <c r="K55" s="145" t="s">
        <v>700</v>
      </c>
      <c r="L55" s="145" t="s">
        <v>701</v>
      </c>
      <c r="M55" s="170" t="s">
        <v>778</v>
      </c>
      <c r="N55" s="143" t="s">
        <v>29</v>
      </c>
      <c r="O55" s="145" t="s">
        <v>772</v>
      </c>
      <c r="P55" s="145" t="s">
        <v>776</v>
      </c>
      <c r="Q55" s="147" t="s">
        <v>855</v>
      </c>
      <c r="R55" s="143" t="s">
        <v>828</v>
      </c>
      <c r="S55" s="156" t="s">
        <v>423</v>
      </c>
      <c r="T55" s="145" t="s">
        <v>249</v>
      </c>
      <c r="U55" s="143">
        <v>2022</v>
      </c>
      <c r="V55" s="143"/>
      <c r="W55" s="145">
        <v>4</v>
      </c>
      <c r="X55" s="143" t="s">
        <v>32</v>
      </c>
      <c r="Y55" s="145" t="s">
        <v>313</v>
      </c>
      <c r="Z55" s="145">
        <v>610851</v>
      </c>
      <c r="AA55" s="143" t="s">
        <v>424</v>
      </c>
    </row>
    <row r="56" spans="1:27" ht="15.75" thickBot="1" x14ac:dyDescent="0.3">
      <c r="A56" s="159">
        <v>57</v>
      </c>
      <c r="B56" s="145" t="s">
        <v>794</v>
      </c>
      <c r="C56" s="143" t="s">
        <v>27</v>
      </c>
      <c r="D56" s="145" t="s">
        <v>698</v>
      </c>
      <c r="E56" s="143">
        <v>50629</v>
      </c>
      <c r="F56" s="143" t="s">
        <v>37</v>
      </c>
      <c r="G56" s="144" t="s">
        <v>28</v>
      </c>
      <c r="H56" s="144" t="s">
        <v>34</v>
      </c>
      <c r="I56" s="143" t="s">
        <v>26</v>
      </c>
      <c r="J56" s="145" t="s">
        <v>702</v>
      </c>
      <c r="K56" s="145" t="s">
        <v>703</v>
      </c>
      <c r="L56" s="145" t="s">
        <v>704</v>
      </c>
      <c r="M56" s="171" t="s">
        <v>779</v>
      </c>
      <c r="N56" s="143" t="s">
        <v>29</v>
      </c>
      <c r="O56" s="145" t="s">
        <v>30</v>
      </c>
      <c r="P56" s="145" t="s">
        <v>775</v>
      </c>
      <c r="Q56" s="147" t="s">
        <v>892</v>
      </c>
      <c r="R56" s="143" t="s">
        <v>829</v>
      </c>
      <c r="S56" s="156" t="s">
        <v>426</v>
      </c>
      <c r="T56" s="145" t="s">
        <v>31</v>
      </c>
      <c r="U56" s="143">
        <v>2022</v>
      </c>
      <c r="V56" s="143">
        <v>484.7</v>
      </c>
      <c r="W56" s="145">
        <v>4</v>
      </c>
      <c r="X56" s="143" t="s">
        <v>189</v>
      </c>
      <c r="Y56" s="145" t="s">
        <v>696</v>
      </c>
      <c r="Z56" s="168">
        <v>626124</v>
      </c>
      <c r="AA56" s="143" t="s">
        <v>427</v>
      </c>
    </row>
    <row r="57" spans="1:27" x14ac:dyDescent="0.25">
      <c r="A57" s="140">
        <v>58</v>
      </c>
      <c r="B57" s="145" t="s">
        <v>795</v>
      </c>
      <c r="C57" s="143" t="s">
        <v>27</v>
      </c>
      <c r="D57" s="145" t="s">
        <v>698</v>
      </c>
      <c r="E57" s="143">
        <v>50629</v>
      </c>
      <c r="F57" s="143" t="s">
        <v>37</v>
      </c>
      <c r="G57" s="144" t="s">
        <v>28</v>
      </c>
      <c r="H57" s="144" t="s">
        <v>34</v>
      </c>
      <c r="I57" s="143" t="s">
        <v>26</v>
      </c>
      <c r="J57" s="145" t="s">
        <v>705</v>
      </c>
      <c r="K57" s="145" t="s">
        <v>706</v>
      </c>
      <c r="L57" s="145" t="s">
        <v>135</v>
      </c>
      <c r="M57" s="171" t="s">
        <v>780</v>
      </c>
      <c r="N57" s="143" t="s">
        <v>29</v>
      </c>
      <c r="O57" s="145" t="s">
        <v>30</v>
      </c>
      <c r="P57" s="145" t="s">
        <v>358</v>
      </c>
      <c r="Q57" s="147" t="s">
        <v>888</v>
      </c>
      <c r="R57" s="143" t="s">
        <v>832</v>
      </c>
      <c r="S57" s="156" t="s">
        <v>429</v>
      </c>
      <c r="T57" s="145" t="s">
        <v>31</v>
      </c>
      <c r="U57" s="143">
        <v>2022</v>
      </c>
      <c r="V57" s="143">
        <v>519.9</v>
      </c>
      <c r="W57" s="145">
        <v>4</v>
      </c>
      <c r="X57" s="143" t="s">
        <v>189</v>
      </c>
      <c r="Y57" s="145" t="s">
        <v>696</v>
      </c>
      <c r="Z57" s="168">
        <v>3308589</v>
      </c>
      <c r="AA57" s="145" t="s">
        <v>430</v>
      </c>
    </row>
    <row r="58" spans="1:27" ht="15.75" thickBot="1" x14ac:dyDescent="0.3">
      <c r="A58" s="159">
        <v>59</v>
      </c>
      <c r="B58" s="145" t="s">
        <v>796</v>
      </c>
      <c r="C58" s="143" t="s">
        <v>27</v>
      </c>
      <c r="D58" s="145" t="s">
        <v>698</v>
      </c>
      <c r="E58" s="143">
        <v>50629</v>
      </c>
      <c r="F58" s="143" t="s">
        <v>37</v>
      </c>
      <c r="G58" s="144" t="s">
        <v>28</v>
      </c>
      <c r="H58" s="144" t="s">
        <v>34</v>
      </c>
      <c r="I58" s="143" t="s">
        <v>26</v>
      </c>
      <c r="J58" s="145" t="s">
        <v>707</v>
      </c>
      <c r="K58" s="145" t="s">
        <v>708</v>
      </c>
      <c r="L58" s="145" t="s">
        <v>709</v>
      </c>
      <c r="M58" s="171" t="s">
        <v>781</v>
      </c>
      <c r="N58" s="143" t="s">
        <v>29</v>
      </c>
      <c r="O58" s="145" t="s">
        <v>30</v>
      </c>
      <c r="P58" s="145" t="s">
        <v>358</v>
      </c>
      <c r="Q58" s="147" t="s">
        <v>893</v>
      </c>
      <c r="R58" s="143" t="s">
        <v>846</v>
      </c>
      <c r="S58" s="156" t="s">
        <v>432</v>
      </c>
      <c r="T58" s="145" t="s">
        <v>31</v>
      </c>
      <c r="U58" s="143">
        <v>2022</v>
      </c>
      <c r="V58" s="143">
        <v>471.7</v>
      </c>
      <c r="W58" s="145">
        <v>4</v>
      </c>
      <c r="X58" s="143" t="s">
        <v>189</v>
      </c>
      <c r="Y58" s="145" t="s">
        <v>696</v>
      </c>
      <c r="Z58" s="168">
        <v>3726105</v>
      </c>
      <c r="AA58" s="145" t="s">
        <v>433</v>
      </c>
    </row>
    <row r="59" spans="1:27" x14ac:dyDescent="0.25">
      <c r="A59" s="140">
        <v>60</v>
      </c>
      <c r="B59" s="145" t="s">
        <v>797</v>
      </c>
      <c r="C59" s="143" t="s">
        <v>27</v>
      </c>
      <c r="D59" s="145" t="s">
        <v>698</v>
      </c>
      <c r="E59" s="143">
        <v>50629</v>
      </c>
      <c r="F59" s="143" t="s">
        <v>37</v>
      </c>
      <c r="G59" s="144" t="s">
        <v>28</v>
      </c>
      <c r="H59" s="144" t="s">
        <v>34</v>
      </c>
      <c r="I59" s="143" t="s">
        <v>26</v>
      </c>
      <c r="J59" s="145" t="s">
        <v>710</v>
      </c>
      <c r="K59" s="145" t="s">
        <v>711</v>
      </c>
      <c r="L59" s="145" t="s">
        <v>140</v>
      </c>
      <c r="M59" s="171" t="s">
        <v>782</v>
      </c>
      <c r="N59" s="143" t="s">
        <v>29</v>
      </c>
      <c r="O59" s="145" t="s">
        <v>30</v>
      </c>
      <c r="P59" s="145" t="s">
        <v>358</v>
      </c>
      <c r="Q59" s="147" t="s">
        <v>885</v>
      </c>
      <c r="R59" s="143" t="s">
        <v>834</v>
      </c>
      <c r="S59" s="156" t="s">
        <v>435</v>
      </c>
      <c r="T59" s="145" t="s">
        <v>31</v>
      </c>
      <c r="U59" s="143">
        <v>2022</v>
      </c>
      <c r="V59" s="143">
        <v>472</v>
      </c>
      <c r="W59" s="145">
        <v>4</v>
      </c>
      <c r="X59" s="143" t="s">
        <v>189</v>
      </c>
      <c r="Y59" s="145" t="s">
        <v>696</v>
      </c>
      <c r="Z59" s="168">
        <v>2475192</v>
      </c>
      <c r="AA59" s="145" t="s">
        <v>436</v>
      </c>
    </row>
    <row r="60" spans="1:27" ht="15.75" thickBot="1" x14ac:dyDescent="0.3">
      <c r="A60" s="159">
        <v>61</v>
      </c>
      <c r="B60" s="145" t="s">
        <v>798</v>
      </c>
      <c r="C60" s="143" t="s">
        <v>27</v>
      </c>
      <c r="D60" s="145" t="s">
        <v>698</v>
      </c>
      <c r="E60" s="143">
        <v>50629</v>
      </c>
      <c r="F60" s="143" t="s">
        <v>37</v>
      </c>
      <c r="G60" s="144" t="s">
        <v>28</v>
      </c>
      <c r="H60" s="144" t="s">
        <v>34</v>
      </c>
      <c r="I60" s="143" t="s">
        <v>26</v>
      </c>
      <c r="J60" s="145" t="s">
        <v>712</v>
      </c>
      <c r="K60" s="145" t="s">
        <v>713</v>
      </c>
      <c r="L60" s="145" t="s">
        <v>559</v>
      </c>
      <c r="M60" s="172" t="s">
        <v>783</v>
      </c>
      <c r="N60" s="143" t="s">
        <v>29</v>
      </c>
      <c r="O60" s="145" t="s">
        <v>30</v>
      </c>
      <c r="P60" s="145" t="s">
        <v>358</v>
      </c>
      <c r="Q60" s="147" t="s">
        <v>889</v>
      </c>
      <c r="R60" s="177" t="s">
        <v>826</v>
      </c>
      <c r="S60" s="176" t="s">
        <v>438</v>
      </c>
      <c r="T60" s="145" t="s">
        <v>31</v>
      </c>
      <c r="U60" s="143">
        <v>2022</v>
      </c>
      <c r="V60" s="169">
        <v>530.70000000000005</v>
      </c>
      <c r="W60" s="145">
        <v>4</v>
      </c>
      <c r="X60" s="143" t="s">
        <v>189</v>
      </c>
      <c r="Y60" s="145" t="s">
        <v>696</v>
      </c>
      <c r="Z60" s="168">
        <v>3249546</v>
      </c>
      <c r="AA60" s="155" t="s">
        <v>439</v>
      </c>
    </row>
    <row r="61" spans="1:27" x14ac:dyDescent="0.25">
      <c r="A61" s="140">
        <v>62</v>
      </c>
      <c r="B61" s="145" t="s">
        <v>799</v>
      </c>
      <c r="C61" s="143" t="s">
        <v>27</v>
      </c>
      <c r="D61" s="145" t="s">
        <v>698</v>
      </c>
      <c r="E61" s="143">
        <v>50629</v>
      </c>
      <c r="F61" s="143" t="s">
        <v>37</v>
      </c>
      <c r="G61" s="144" t="s">
        <v>28</v>
      </c>
      <c r="H61" s="144" t="s">
        <v>34</v>
      </c>
      <c r="I61" s="143" t="s">
        <v>26</v>
      </c>
      <c r="J61" s="145" t="s">
        <v>714</v>
      </c>
      <c r="K61" s="145" t="s">
        <v>715</v>
      </c>
      <c r="L61" s="145" t="s">
        <v>716</v>
      </c>
      <c r="M61" s="172" t="s">
        <v>784</v>
      </c>
      <c r="N61" s="143" t="s">
        <v>29</v>
      </c>
      <c r="O61" s="145" t="s">
        <v>30</v>
      </c>
      <c r="P61" s="145" t="s">
        <v>358</v>
      </c>
      <c r="Q61" s="147" t="s">
        <v>894</v>
      </c>
      <c r="R61" s="143" t="s">
        <v>830</v>
      </c>
      <c r="S61" s="178" t="s">
        <v>441</v>
      </c>
      <c r="T61" s="145" t="s">
        <v>31</v>
      </c>
      <c r="U61" s="143">
        <v>2022</v>
      </c>
      <c r="V61" s="169">
        <v>494.9</v>
      </c>
      <c r="W61" s="145">
        <v>4</v>
      </c>
      <c r="X61" s="143" t="s">
        <v>189</v>
      </c>
      <c r="Y61" s="145" t="s">
        <v>696</v>
      </c>
      <c r="Z61" s="168">
        <v>3059015</v>
      </c>
      <c r="AA61" s="155" t="s">
        <v>442</v>
      </c>
    </row>
    <row r="62" spans="1:27" ht="15.75" thickBot="1" x14ac:dyDescent="0.3">
      <c r="A62" s="159">
        <v>63</v>
      </c>
      <c r="B62" s="145" t="s">
        <v>800</v>
      </c>
      <c r="C62" s="143" t="s">
        <v>27</v>
      </c>
      <c r="D62" s="145" t="s">
        <v>698</v>
      </c>
      <c r="E62" s="143">
        <v>50629</v>
      </c>
      <c r="F62" s="143" t="s">
        <v>37</v>
      </c>
      <c r="G62" s="144" t="s">
        <v>28</v>
      </c>
      <c r="H62" s="144" t="s">
        <v>34</v>
      </c>
      <c r="I62" s="143" t="s">
        <v>26</v>
      </c>
      <c r="J62" s="145" t="s">
        <v>717</v>
      </c>
      <c r="K62" s="145" t="s">
        <v>718</v>
      </c>
      <c r="L62" s="145" t="s">
        <v>719</v>
      </c>
      <c r="M62" s="171" t="s">
        <v>785</v>
      </c>
      <c r="N62" s="143" t="s">
        <v>29</v>
      </c>
      <c r="O62" s="145" t="s">
        <v>30</v>
      </c>
      <c r="P62" s="145" t="s">
        <v>358</v>
      </c>
      <c r="Q62" s="147" t="s">
        <v>895</v>
      </c>
      <c r="R62" s="143" t="s">
        <v>831</v>
      </c>
      <c r="S62" s="156" t="s">
        <v>444</v>
      </c>
      <c r="T62" s="145" t="s">
        <v>31</v>
      </c>
      <c r="U62" s="143">
        <v>2022</v>
      </c>
      <c r="V62" s="143">
        <v>503.8</v>
      </c>
      <c r="W62" s="145">
        <v>4</v>
      </c>
      <c r="X62" s="143" t="s">
        <v>189</v>
      </c>
      <c r="Y62" s="145" t="s">
        <v>696</v>
      </c>
      <c r="Z62" s="168">
        <v>3287766</v>
      </c>
      <c r="AA62" s="145" t="s">
        <v>445</v>
      </c>
    </row>
    <row r="63" spans="1:27" x14ac:dyDescent="0.25">
      <c r="A63" s="140">
        <v>64</v>
      </c>
      <c r="B63" s="145" t="s">
        <v>801</v>
      </c>
      <c r="C63" s="143" t="s">
        <v>27</v>
      </c>
      <c r="D63" s="145" t="s">
        <v>698</v>
      </c>
      <c r="E63" s="143">
        <v>50629</v>
      </c>
      <c r="F63" s="143" t="s">
        <v>37</v>
      </c>
      <c r="G63" s="144" t="s">
        <v>28</v>
      </c>
      <c r="H63" s="144" t="s">
        <v>34</v>
      </c>
      <c r="I63" s="143" t="s">
        <v>26</v>
      </c>
      <c r="J63" s="145" t="s">
        <v>720</v>
      </c>
      <c r="K63" s="145" t="s">
        <v>721</v>
      </c>
      <c r="L63" s="145" t="s">
        <v>722</v>
      </c>
      <c r="M63" s="171" t="s">
        <v>786</v>
      </c>
      <c r="N63" s="143" t="s">
        <v>248</v>
      </c>
      <c r="O63" s="145" t="s">
        <v>30</v>
      </c>
      <c r="P63" s="145" t="s">
        <v>819</v>
      </c>
      <c r="Q63" s="147" t="s">
        <v>896</v>
      </c>
      <c r="R63" s="169" t="s">
        <v>851</v>
      </c>
      <c r="S63" s="156" t="s">
        <v>447</v>
      </c>
      <c r="T63" s="145" t="s">
        <v>31</v>
      </c>
      <c r="U63" s="143">
        <v>2022</v>
      </c>
      <c r="V63" s="143">
        <v>476.7</v>
      </c>
      <c r="W63" s="145">
        <v>4</v>
      </c>
      <c r="X63" s="143" t="s">
        <v>189</v>
      </c>
      <c r="Y63" s="145" t="s">
        <v>696</v>
      </c>
      <c r="Z63" s="168">
        <v>2968662</v>
      </c>
      <c r="AA63" s="145" t="s">
        <v>448</v>
      </c>
    </row>
    <row r="64" spans="1:27" ht="15.75" thickBot="1" x14ac:dyDescent="0.3">
      <c r="A64" s="159">
        <v>65</v>
      </c>
      <c r="B64" s="145" t="s">
        <v>802</v>
      </c>
      <c r="C64" s="143" t="s">
        <v>27</v>
      </c>
      <c r="D64" s="145" t="s">
        <v>698</v>
      </c>
      <c r="E64" s="143">
        <v>50629</v>
      </c>
      <c r="F64" s="143" t="s">
        <v>37</v>
      </c>
      <c r="G64" s="144" t="s">
        <v>28</v>
      </c>
      <c r="H64" s="144" t="s">
        <v>34</v>
      </c>
      <c r="I64" s="143" t="s">
        <v>26</v>
      </c>
      <c r="J64" s="145" t="s">
        <v>723</v>
      </c>
      <c r="K64" s="145" t="s">
        <v>724</v>
      </c>
      <c r="L64" s="145" t="s">
        <v>725</v>
      </c>
      <c r="M64" s="171" t="s">
        <v>787</v>
      </c>
      <c r="N64" s="143" t="s">
        <v>29</v>
      </c>
      <c r="O64" s="145" t="s">
        <v>30</v>
      </c>
      <c r="P64" s="145" t="s">
        <v>358</v>
      </c>
      <c r="Q64" s="147" t="s">
        <v>856</v>
      </c>
      <c r="R64" s="143" t="s">
        <v>845</v>
      </c>
      <c r="S64" s="156" t="s">
        <v>450</v>
      </c>
      <c r="T64" s="145" t="s">
        <v>31</v>
      </c>
      <c r="U64" s="143">
        <v>2022</v>
      </c>
      <c r="V64" s="143">
        <v>487.6</v>
      </c>
      <c r="W64" s="145">
        <v>4</v>
      </c>
      <c r="X64" s="143" t="s">
        <v>189</v>
      </c>
      <c r="Y64" s="145" t="s">
        <v>696</v>
      </c>
      <c r="Z64" s="168">
        <v>3372247</v>
      </c>
      <c r="AA64" s="145" t="s">
        <v>451</v>
      </c>
    </row>
    <row r="65" spans="1:27" x14ac:dyDescent="0.25">
      <c r="A65" s="140">
        <v>66</v>
      </c>
      <c r="B65" s="145" t="s">
        <v>803</v>
      </c>
      <c r="C65" s="143" t="s">
        <v>27</v>
      </c>
      <c r="D65" s="145" t="s">
        <v>698</v>
      </c>
      <c r="E65" s="143">
        <v>50629</v>
      </c>
      <c r="F65" s="143" t="s">
        <v>37</v>
      </c>
      <c r="G65" s="144" t="s">
        <v>28</v>
      </c>
      <c r="H65" s="144" t="s">
        <v>34</v>
      </c>
      <c r="I65" s="143" t="s">
        <v>26</v>
      </c>
      <c r="J65" s="145" t="s">
        <v>726</v>
      </c>
      <c r="K65" s="145" t="s">
        <v>727</v>
      </c>
      <c r="L65" s="145" t="s">
        <v>728</v>
      </c>
      <c r="M65" s="171" t="s">
        <v>788</v>
      </c>
      <c r="N65" s="143" t="s">
        <v>29</v>
      </c>
      <c r="O65" s="145" t="s">
        <v>30</v>
      </c>
      <c r="P65" s="145" t="s">
        <v>365</v>
      </c>
      <c r="Q65" s="147" t="s">
        <v>854</v>
      </c>
      <c r="R65" s="143" t="s">
        <v>833</v>
      </c>
      <c r="S65" s="156" t="s">
        <v>453</v>
      </c>
      <c r="T65" s="145" t="s">
        <v>31</v>
      </c>
      <c r="U65" s="143">
        <v>2022</v>
      </c>
      <c r="V65" s="143">
        <v>493.3</v>
      </c>
      <c r="W65" s="145">
        <v>4</v>
      </c>
      <c r="X65" s="143" t="s">
        <v>189</v>
      </c>
      <c r="Y65" s="145" t="s">
        <v>696</v>
      </c>
      <c r="Z65" s="168">
        <v>3310322</v>
      </c>
      <c r="AA65" s="141" t="s">
        <v>454</v>
      </c>
    </row>
    <row r="66" spans="1:27" ht="15.75" thickBot="1" x14ac:dyDescent="0.3">
      <c r="A66" s="159">
        <v>67</v>
      </c>
      <c r="B66" s="145" t="s">
        <v>804</v>
      </c>
      <c r="C66" s="143" t="s">
        <v>27</v>
      </c>
      <c r="D66" s="145" t="s">
        <v>698</v>
      </c>
      <c r="E66" s="143">
        <v>50629</v>
      </c>
      <c r="F66" s="143" t="s">
        <v>37</v>
      </c>
      <c r="G66" s="144" t="s">
        <v>28</v>
      </c>
      <c r="H66" s="144" t="s">
        <v>34</v>
      </c>
      <c r="I66" s="143" t="s">
        <v>26</v>
      </c>
      <c r="J66" s="145" t="s">
        <v>729</v>
      </c>
      <c r="K66" s="145" t="s">
        <v>730</v>
      </c>
      <c r="L66" s="145" t="s">
        <v>731</v>
      </c>
      <c r="M66" s="171" t="s">
        <v>789</v>
      </c>
      <c r="N66" s="143" t="s">
        <v>248</v>
      </c>
      <c r="O66" s="145" t="s">
        <v>30</v>
      </c>
      <c r="P66" s="145" t="s">
        <v>820</v>
      </c>
      <c r="Q66" s="147" t="s">
        <v>861</v>
      </c>
      <c r="R66" s="143" t="s">
        <v>835</v>
      </c>
      <c r="S66" s="156" t="s">
        <v>456</v>
      </c>
      <c r="T66" s="145" t="s">
        <v>31</v>
      </c>
      <c r="U66" s="143">
        <v>2022</v>
      </c>
      <c r="V66" s="143">
        <v>482.8</v>
      </c>
      <c r="W66" s="145">
        <v>4</v>
      </c>
      <c r="X66" s="143" t="s">
        <v>189</v>
      </c>
      <c r="Y66" s="145" t="s">
        <v>696</v>
      </c>
      <c r="Z66" s="168">
        <v>3259955</v>
      </c>
      <c r="AA66" s="145" t="s">
        <v>457</v>
      </c>
    </row>
    <row r="67" spans="1:27" x14ac:dyDescent="0.25">
      <c r="A67" s="140">
        <v>68</v>
      </c>
      <c r="B67" s="145" t="s">
        <v>805</v>
      </c>
      <c r="C67" s="143" t="s">
        <v>27</v>
      </c>
      <c r="D67" s="145" t="s">
        <v>698</v>
      </c>
      <c r="E67" s="143">
        <v>50629</v>
      </c>
      <c r="F67" s="143" t="s">
        <v>37</v>
      </c>
      <c r="G67" s="144" t="s">
        <v>28</v>
      </c>
      <c r="H67" s="144" t="s">
        <v>34</v>
      </c>
      <c r="I67" s="143" t="s">
        <v>26</v>
      </c>
      <c r="J67" s="145" t="s">
        <v>732</v>
      </c>
      <c r="K67" s="145" t="s">
        <v>733</v>
      </c>
      <c r="L67" s="145" t="s">
        <v>734</v>
      </c>
      <c r="M67" s="171" t="s">
        <v>790</v>
      </c>
      <c r="N67" s="143" t="s">
        <v>29</v>
      </c>
      <c r="O67" s="145" t="s">
        <v>30</v>
      </c>
      <c r="P67" s="145" t="s">
        <v>358</v>
      </c>
      <c r="Q67" s="147" t="s">
        <v>897</v>
      </c>
      <c r="R67" s="143" t="s">
        <v>836</v>
      </c>
      <c r="S67" s="156" t="s">
        <v>459</v>
      </c>
      <c r="T67" s="145" t="s">
        <v>31</v>
      </c>
      <c r="U67" s="143">
        <v>2022</v>
      </c>
      <c r="V67" s="143">
        <v>500.1</v>
      </c>
      <c r="W67" s="145">
        <v>4</v>
      </c>
      <c r="X67" s="143" t="s">
        <v>189</v>
      </c>
      <c r="Y67" s="145" t="s">
        <v>696</v>
      </c>
      <c r="Z67" s="168">
        <v>2397416</v>
      </c>
      <c r="AA67" s="141" t="s">
        <v>460</v>
      </c>
    </row>
    <row r="68" spans="1:27" ht="15.75" thickBot="1" x14ac:dyDescent="0.3">
      <c r="A68" s="159">
        <v>69</v>
      </c>
      <c r="B68" s="145" t="s">
        <v>806</v>
      </c>
      <c r="C68" s="143" t="s">
        <v>27</v>
      </c>
      <c r="D68" s="145" t="s">
        <v>698</v>
      </c>
      <c r="E68" s="143">
        <v>50629</v>
      </c>
      <c r="F68" s="143" t="s">
        <v>37</v>
      </c>
      <c r="G68" s="144" t="s">
        <v>28</v>
      </c>
      <c r="H68" s="144" t="s">
        <v>34</v>
      </c>
      <c r="I68" s="143" t="s">
        <v>26</v>
      </c>
      <c r="J68" s="145" t="s">
        <v>735</v>
      </c>
      <c r="K68" s="145" t="s">
        <v>736</v>
      </c>
      <c r="L68" s="145" t="s">
        <v>737</v>
      </c>
      <c r="M68" s="171" t="s">
        <v>791</v>
      </c>
      <c r="N68" s="143" t="s">
        <v>29</v>
      </c>
      <c r="O68" s="145" t="s">
        <v>30</v>
      </c>
      <c r="P68" s="145" t="s">
        <v>821</v>
      </c>
      <c r="Q68" s="147" t="s">
        <v>857</v>
      </c>
      <c r="R68" s="143" t="s">
        <v>837</v>
      </c>
      <c r="S68" s="156" t="s">
        <v>462</v>
      </c>
      <c r="T68" s="145" t="s">
        <v>31</v>
      </c>
      <c r="U68" s="143">
        <v>2022</v>
      </c>
      <c r="V68" s="143">
        <v>466.8</v>
      </c>
      <c r="W68" s="145">
        <v>4</v>
      </c>
      <c r="X68" s="143" t="s">
        <v>189</v>
      </c>
      <c r="Y68" s="145" t="s">
        <v>696</v>
      </c>
      <c r="Z68" s="168">
        <v>2350818</v>
      </c>
      <c r="AA68" s="145" t="s">
        <v>463</v>
      </c>
    </row>
    <row r="69" spans="1:27" x14ac:dyDescent="0.25">
      <c r="A69" s="140">
        <v>70</v>
      </c>
      <c r="B69" s="145" t="s">
        <v>807</v>
      </c>
      <c r="C69" s="143" t="s">
        <v>27</v>
      </c>
      <c r="D69" s="145" t="s">
        <v>698</v>
      </c>
      <c r="E69" s="143">
        <v>50629</v>
      </c>
      <c r="F69" s="143" t="s">
        <v>37</v>
      </c>
      <c r="G69" s="144" t="s">
        <v>28</v>
      </c>
      <c r="H69" s="144" t="s">
        <v>34</v>
      </c>
      <c r="I69" s="143" t="s">
        <v>26</v>
      </c>
      <c r="J69" s="145" t="s">
        <v>738</v>
      </c>
      <c r="K69" s="145" t="s">
        <v>739</v>
      </c>
      <c r="L69" s="145" t="s">
        <v>740</v>
      </c>
      <c r="M69" s="171" t="s">
        <v>792</v>
      </c>
      <c r="N69" s="143" t="s">
        <v>29</v>
      </c>
      <c r="O69" s="145" t="s">
        <v>30</v>
      </c>
      <c r="P69" s="145" t="s">
        <v>363</v>
      </c>
      <c r="Q69" s="147" t="s">
        <v>852</v>
      </c>
      <c r="R69" s="143" t="s">
        <v>843</v>
      </c>
      <c r="S69" s="156" t="s">
        <v>465</v>
      </c>
      <c r="T69" s="145" t="s">
        <v>31</v>
      </c>
      <c r="U69" s="143">
        <v>2022</v>
      </c>
      <c r="V69" s="143">
        <v>494.6</v>
      </c>
      <c r="W69" s="145">
        <v>4</v>
      </c>
      <c r="X69" s="143" t="s">
        <v>189</v>
      </c>
      <c r="Y69" s="145" t="s">
        <v>696</v>
      </c>
      <c r="Z69" s="168">
        <v>1781090</v>
      </c>
      <c r="AA69" s="145" t="s">
        <v>466</v>
      </c>
    </row>
    <row r="70" spans="1:27" x14ac:dyDescent="0.25">
      <c r="A70" s="140">
        <v>72</v>
      </c>
      <c r="B70" s="145" t="s">
        <v>808</v>
      </c>
      <c r="C70" s="143" t="s">
        <v>27</v>
      </c>
      <c r="D70" s="145" t="s">
        <v>698</v>
      </c>
      <c r="E70" s="143">
        <v>50629</v>
      </c>
      <c r="F70" s="143" t="s">
        <v>37</v>
      </c>
      <c r="G70" s="144" t="s">
        <v>28</v>
      </c>
      <c r="H70" s="144" t="s">
        <v>34</v>
      </c>
      <c r="I70" s="143" t="s">
        <v>26</v>
      </c>
      <c r="J70" s="145" t="s">
        <v>741</v>
      </c>
      <c r="K70" s="145" t="s">
        <v>742</v>
      </c>
      <c r="L70" s="145" t="s">
        <v>743</v>
      </c>
      <c r="M70" s="145" t="s">
        <v>808</v>
      </c>
      <c r="N70" s="143" t="s">
        <v>248</v>
      </c>
      <c r="O70" s="145" t="s">
        <v>30</v>
      </c>
      <c r="P70" s="145" t="s">
        <v>821</v>
      </c>
      <c r="Q70" s="147" t="s">
        <v>876</v>
      </c>
      <c r="R70" s="143" t="s">
        <v>827</v>
      </c>
      <c r="S70" s="156" t="s">
        <v>468</v>
      </c>
      <c r="T70" s="145" t="s">
        <v>31</v>
      </c>
      <c r="U70" s="143">
        <v>2022</v>
      </c>
      <c r="V70" s="145">
        <v>482.6</v>
      </c>
      <c r="W70" s="145">
        <v>4</v>
      </c>
      <c r="X70" s="143" t="s">
        <v>189</v>
      </c>
      <c r="Y70" s="145" t="s">
        <v>696</v>
      </c>
      <c r="Z70" s="168">
        <v>1444247</v>
      </c>
      <c r="AA70" s="145" t="s">
        <v>469</v>
      </c>
    </row>
    <row r="71" spans="1:27" ht="15.75" thickBot="1" x14ac:dyDescent="0.3">
      <c r="A71" s="159">
        <v>73</v>
      </c>
      <c r="B71" s="145" t="s">
        <v>809</v>
      </c>
      <c r="C71" s="143" t="s">
        <v>27</v>
      </c>
      <c r="D71" s="145" t="s">
        <v>698</v>
      </c>
      <c r="E71" s="143">
        <v>50629</v>
      </c>
      <c r="F71" s="143" t="s">
        <v>37</v>
      </c>
      <c r="G71" s="144" t="s">
        <v>28</v>
      </c>
      <c r="H71" s="144" t="s">
        <v>34</v>
      </c>
      <c r="I71" s="143" t="s">
        <v>26</v>
      </c>
      <c r="J71" s="145" t="s">
        <v>744</v>
      </c>
      <c r="K71" s="145" t="s">
        <v>745</v>
      </c>
      <c r="L71" s="145" t="s">
        <v>746</v>
      </c>
      <c r="M71" s="145" t="s">
        <v>809</v>
      </c>
      <c r="N71" s="143" t="s">
        <v>248</v>
      </c>
      <c r="O71" s="145" t="s">
        <v>30</v>
      </c>
      <c r="P71" s="145" t="s">
        <v>358</v>
      </c>
      <c r="Q71" s="147" t="s">
        <v>858</v>
      </c>
      <c r="R71" s="143" t="s">
        <v>838</v>
      </c>
      <c r="S71" s="156" t="s">
        <v>471</v>
      </c>
      <c r="T71" s="145" t="s">
        <v>31</v>
      </c>
      <c r="U71" s="143">
        <v>2022</v>
      </c>
      <c r="V71" s="145">
        <v>532.4</v>
      </c>
      <c r="W71" s="145">
        <v>4</v>
      </c>
      <c r="X71" s="143" t="s">
        <v>189</v>
      </c>
      <c r="Y71" s="145" t="s">
        <v>696</v>
      </c>
      <c r="Z71" s="168">
        <v>2378726</v>
      </c>
      <c r="AA71" s="145" t="s">
        <v>472</v>
      </c>
    </row>
    <row r="72" spans="1:27" x14ac:dyDescent="0.25">
      <c r="A72" s="140">
        <v>74</v>
      </c>
      <c r="B72" s="145" t="s">
        <v>810</v>
      </c>
      <c r="C72" s="143" t="s">
        <v>27</v>
      </c>
      <c r="D72" s="145" t="s">
        <v>698</v>
      </c>
      <c r="E72" s="143">
        <v>50629</v>
      </c>
      <c r="F72" s="143" t="s">
        <v>37</v>
      </c>
      <c r="G72" s="144" t="s">
        <v>28</v>
      </c>
      <c r="H72" s="144" t="s">
        <v>34</v>
      </c>
      <c r="I72" s="143" t="s">
        <v>26</v>
      </c>
      <c r="J72" s="145" t="s">
        <v>747</v>
      </c>
      <c r="K72" s="145" t="s">
        <v>748</v>
      </c>
      <c r="L72" s="145" t="s">
        <v>749</v>
      </c>
      <c r="M72" s="145" t="s">
        <v>810</v>
      </c>
      <c r="N72" s="143" t="s">
        <v>29</v>
      </c>
      <c r="O72" s="145" t="s">
        <v>30</v>
      </c>
      <c r="P72" s="145" t="s">
        <v>363</v>
      </c>
      <c r="Q72" s="147" t="s">
        <v>887</v>
      </c>
      <c r="R72" s="143" t="s">
        <v>839</v>
      </c>
      <c r="S72" s="156" t="s">
        <v>474</v>
      </c>
      <c r="T72" s="145" t="s">
        <v>31</v>
      </c>
      <c r="U72" s="143">
        <v>2022</v>
      </c>
      <c r="V72" s="145">
        <v>519.9</v>
      </c>
      <c r="W72" s="145">
        <v>4</v>
      </c>
      <c r="X72" s="143" t="s">
        <v>189</v>
      </c>
      <c r="Y72" s="145" t="s">
        <v>696</v>
      </c>
      <c r="Z72" s="168">
        <v>3312637</v>
      </c>
      <c r="AA72" s="143" t="s">
        <v>475</v>
      </c>
    </row>
    <row r="73" spans="1:27" ht="15.75" thickBot="1" x14ac:dyDescent="0.3">
      <c r="A73" s="159">
        <v>75</v>
      </c>
      <c r="B73" s="145" t="s">
        <v>811</v>
      </c>
      <c r="C73" s="143" t="s">
        <v>27</v>
      </c>
      <c r="D73" s="145" t="s">
        <v>698</v>
      </c>
      <c r="E73" s="143">
        <v>50629</v>
      </c>
      <c r="F73" s="143" t="s">
        <v>37</v>
      </c>
      <c r="G73" s="144" t="s">
        <v>28</v>
      </c>
      <c r="H73" s="144" t="s">
        <v>34</v>
      </c>
      <c r="I73" s="143" t="s">
        <v>26</v>
      </c>
      <c r="J73" s="145" t="s">
        <v>750</v>
      </c>
      <c r="K73" s="145" t="s">
        <v>751</v>
      </c>
      <c r="L73" s="145" t="s">
        <v>752</v>
      </c>
      <c r="M73" s="145" t="s">
        <v>811</v>
      </c>
      <c r="N73" s="143" t="s">
        <v>248</v>
      </c>
      <c r="O73" s="145" t="s">
        <v>30</v>
      </c>
      <c r="P73" s="145" t="s">
        <v>358</v>
      </c>
      <c r="Q73" s="147" t="s">
        <v>883</v>
      </c>
      <c r="R73" s="143" t="s">
        <v>840</v>
      </c>
      <c r="S73" s="156" t="s">
        <v>477</v>
      </c>
      <c r="T73" s="145" t="s">
        <v>31</v>
      </c>
      <c r="U73" s="143">
        <v>2022</v>
      </c>
      <c r="V73" s="145">
        <v>495.9</v>
      </c>
      <c r="W73" s="145">
        <v>4</v>
      </c>
      <c r="X73" s="143" t="s">
        <v>189</v>
      </c>
      <c r="Y73" s="145" t="s">
        <v>696</v>
      </c>
      <c r="Z73" s="168">
        <v>3739728</v>
      </c>
      <c r="AA73" s="145" t="s">
        <v>478</v>
      </c>
    </row>
    <row r="74" spans="1:27" x14ac:dyDescent="0.25">
      <c r="A74" s="140">
        <v>76</v>
      </c>
      <c r="B74" s="145" t="s">
        <v>812</v>
      </c>
      <c r="C74" s="143" t="s">
        <v>27</v>
      </c>
      <c r="D74" s="145" t="s">
        <v>698</v>
      </c>
      <c r="E74" s="143">
        <v>50629</v>
      </c>
      <c r="F74" s="143" t="s">
        <v>37</v>
      </c>
      <c r="G74" s="144" t="s">
        <v>28</v>
      </c>
      <c r="H74" s="144" t="s">
        <v>34</v>
      </c>
      <c r="I74" s="143" t="s">
        <v>26</v>
      </c>
      <c r="J74" s="145" t="s">
        <v>750</v>
      </c>
      <c r="K74" s="145" t="s">
        <v>753</v>
      </c>
      <c r="L74" s="145" t="s">
        <v>754</v>
      </c>
      <c r="M74" s="145" t="s">
        <v>812</v>
      </c>
      <c r="N74" s="143" t="s">
        <v>248</v>
      </c>
      <c r="O74" s="145" t="s">
        <v>30</v>
      </c>
      <c r="P74" s="145" t="s">
        <v>363</v>
      </c>
      <c r="Q74" s="147" t="s">
        <v>898</v>
      </c>
      <c r="R74" s="143" t="s">
        <v>841</v>
      </c>
      <c r="S74" s="156" t="s">
        <v>480</v>
      </c>
      <c r="T74" s="145" t="s">
        <v>31</v>
      </c>
      <c r="U74" s="143">
        <v>2022</v>
      </c>
      <c r="V74" s="145">
        <v>497.2</v>
      </c>
      <c r="W74" s="145">
        <v>4</v>
      </c>
      <c r="X74" s="143" t="s">
        <v>189</v>
      </c>
      <c r="Y74" s="145" t="s">
        <v>696</v>
      </c>
      <c r="Z74" s="168">
        <v>2227664</v>
      </c>
      <c r="AA74" s="145" t="s">
        <v>481</v>
      </c>
    </row>
    <row r="75" spans="1:27" ht="15.75" thickBot="1" x14ac:dyDescent="0.3">
      <c r="A75" s="159">
        <v>77</v>
      </c>
      <c r="B75" s="145" t="s">
        <v>813</v>
      </c>
      <c r="C75" s="143" t="s">
        <v>27</v>
      </c>
      <c r="D75" s="145" t="s">
        <v>698</v>
      </c>
      <c r="E75" s="143">
        <v>50629</v>
      </c>
      <c r="F75" s="143" t="s">
        <v>37</v>
      </c>
      <c r="G75" s="144" t="s">
        <v>28</v>
      </c>
      <c r="H75" s="144" t="s">
        <v>34</v>
      </c>
      <c r="I75" s="143" t="s">
        <v>26</v>
      </c>
      <c r="J75" s="145" t="s">
        <v>755</v>
      </c>
      <c r="K75" s="145" t="s">
        <v>756</v>
      </c>
      <c r="L75" s="145" t="s">
        <v>757</v>
      </c>
      <c r="M75" s="145" t="s">
        <v>813</v>
      </c>
      <c r="N75" s="143" t="s">
        <v>29</v>
      </c>
      <c r="O75" s="145" t="s">
        <v>30</v>
      </c>
      <c r="P75" s="145" t="s">
        <v>363</v>
      </c>
      <c r="Q75" s="147" t="s">
        <v>853</v>
      </c>
      <c r="R75" s="169" t="s">
        <v>850</v>
      </c>
      <c r="S75" s="156" t="s">
        <v>483</v>
      </c>
      <c r="T75" s="145" t="s">
        <v>31</v>
      </c>
      <c r="U75" s="143">
        <v>2022</v>
      </c>
      <c r="V75" s="145">
        <v>474.2</v>
      </c>
      <c r="W75" s="145">
        <v>4</v>
      </c>
      <c r="X75" s="143" t="s">
        <v>189</v>
      </c>
      <c r="Y75" s="145" t="s">
        <v>696</v>
      </c>
      <c r="Z75" s="168">
        <v>3467352</v>
      </c>
      <c r="AA75" s="145" t="s">
        <v>484</v>
      </c>
    </row>
    <row r="76" spans="1:27" ht="15.75" thickBot="1" x14ac:dyDescent="0.3">
      <c r="A76" s="159">
        <v>79</v>
      </c>
      <c r="B76" s="145" t="s">
        <v>814</v>
      </c>
      <c r="C76" s="143" t="s">
        <v>27</v>
      </c>
      <c r="D76" s="145" t="s">
        <v>698</v>
      </c>
      <c r="E76" s="143">
        <v>50629</v>
      </c>
      <c r="F76" s="143" t="s">
        <v>37</v>
      </c>
      <c r="G76" s="144" t="s">
        <v>28</v>
      </c>
      <c r="H76" s="144" t="s">
        <v>34</v>
      </c>
      <c r="I76" s="143" t="s">
        <v>26</v>
      </c>
      <c r="J76" s="145" t="s">
        <v>758</v>
      </c>
      <c r="K76" s="145" t="s">
        <v>759</v>
      </c>
      <c r="L76" s="145" t="s">
        <v>760</v>
      </c>
      <c r="M76" s="145" t="s">
        <v>814</v>
      </c>
      <c r="N76" s="143" t="s">
        <v>29</v>
      </c>
      <c r="O76" s="145" t="s">
        <v>30</v>
      </c>
      <c r="P76" s="145" t="s">
        <v>825</v>
      </c>
      <c r="Q76" s="147" t="s">
        <v>886</v>
      </c>
      <c r="R76" s="143" t="s">
        <v>842</v>
      </c>
      <c r="S76" s="156" t="s">
        <v>486</v>
      </c>
      <c r="T76" s="145" t="s">
        <v>31</v>
      </c>
      <c r="U76" s="143">
        <v>2022</v>
      </c>
      <c r="V76" s="145">
        <v>481.7</v>
      </c>
      <c r="W76" s="145">
        <v>4</v>
      </c>
      <c r="X76" s="143" t="s">
        <v>189</v>
      </c>
      <c r="Y76" s="145" t="s">
        <v>696</v>
      </c>
      <c r="Z76" s="168">
        <v>3110498</v>
      </c>
      <c r="AA76" s="145" t="s">
        <v>487</v>
      </c>
    </row>
    <row r="77" spans="1:27" x14ac:dyDescent="0.25">
      <c r="A77" s="140">
        <v>80</v>
      </c>
      <c r="B77" s="145" t="s">
        <v>815</v>
      </c>
      <c r="C77" s="143" t="s">
        <v>27</v>
      </c>
      <c r="D77" s="145" t="s">
        <v>698</v>
      </c>
      <c r="E77" s="143">
        <v>50629</v>
      </c>
      <c r="F77" s="143" t="s">
        <v>37</v>
      </c>
      <c r="G77" s="144" t="s">
        <v>28</v>
      </c>
      <c r="H77" s="144" t="s">
        <v>34</v>
      </c>
      <c r="I77" s="143" t="s">
        <v>26</v>
      </c>
      <c r="J77" s="145" t="s">
        <v>761</v>
      </c>
      <c r="K77" s="145" t="s">
        <v>762</v>
      </c>
      <c r="L77" s="145" t="s">
        <v>763</v>
      </c>
      <c r="M77" s="145" t="s">
        <v>815</v>
      </c>
      <c r="N77" s="143" t="s">
        <v>29</v>
      </c>
      <c r="O77" s="145" t="s">
        <v>30</v>
      </c>
      <c r="P77" s="145" t="s">
        <v>821</v>
      </c>
      <c r="Q77" s="147" t="s">
        <v>884</v>
      </c>
      <c r="R77" s="143" t="s">
        <v>844</v>
      </c>
      <c r="S77" s="156" t="s">
        <v>489</v>
      </c>
      <c r="T77" s="145" t="s">
        <v>31</v>
      </c>
      <c r="U77" s="143">
        <v>2022</v>
      </c>
      <c r="V77" s="145">
        <v>560.6</v>
      </c>
      <c r="W77" s="145">
        <v>4</v>
      </c>
      <c r="X77" s="143" t="s">
        <v>189</v>
      </c>
      <c r="Y77" s="145" t="s">
        <v>696</v>
      </c>
      <c r="Z77" s="168">
        <v>2706936</v>
      </c>
      <c r="AA77" s="145" t="s">
        <v>490</v>
      </c>
    </row>
    <row r="78" spans="1:27" ht="15.75" thickBot="1" x14ac:dyDescent="0.3">
      <c r="A78" s="159">
        <v>81</v>
      </c>
      <c r="B78" s="145" t="s">
        <v>816</v>
      </c>
      <c r="C78" s="143" t="s">
        <v>27</v>
      </c>
      <c r="D78" s="145" t="s">
        <v>698</v>
      </c>
      <c r="E78" s="143">
        <v>50629</v>
      </c>
      <c r="F78" s="143" t="s">
        <v>37</v>
      </c>
      <c r="G78" s="144" t="s">
        <v>28</v>
      </c>
      <c r="H78" s="144" t="s">
        <v>34</v>
      </c>
      <c r="I78" s="143" t="s">
        <v>26</v>
      </c>
      <c r="J78" s="145" t="s">
        <v>764</v>
      </c>
      <c r="K78" s="145" t="s">
        <v>765</v>
      </c>
      <c r="L78" s="145" t="s">
        <v>777</v>
      </c>
      <c r="M78" s="145" t="s">
        <v>816</v>
      </c>
      <c r="N78" s="143" t="s">
        <v>29</v>
      </c>
      <c r="O78" s="143" t="s">
        <v>773</v>
      </c>
      <c r="P78" s="145" t="s">
        <v>822</v>
      </c>
      <c r="Q78" s="147" t="s">
        <v>900</v>
      </c>
      <c r="R78" s="143" t="s">
        <v>847</v>
      </c>
      <c r="S78" s="156" t="s">
        <v>492</v>
      </c>
      <c r="T78" s="145" t="s">
        <v>249</v>
      </c>
      <c r="U78" s="143">
        <v>2022</v>
      </c>
      <c r="V78" s="145"/>
      <c r="W78" s="145">
        <v>4</v>
      </c>
      <c r="X78" s="143" t="s">
        <v>32</v>
      </c>
      <c r="Y78" s="145" t="s">
        <v>313</v>
      </c>
      <c r="Z78" s="145">
        <v>610388</v>
      </c>
      <c r="AA78" s="145" t="s">
        <v>493</v>
      </c>
    </row>
    <row r="79" spans="1:27" x14ac:dyDescent="0.25">
      <c r="A79" s="140">
        <v>82</v>
      </c>
      <c r="B79" s="145" t="s">
        <v>817</v>
      </c>
      <c r="C79" s="143" t="s">
        <v>27</v>
      </c>
      <c r="D79" s="145" t="s">
        <v>698</v>
      </c>
      <c r="E79" s="143">
        <v>50629</v>
      </c>
      <c r="F79" s="143" t="s">
        <v>37</v>
      </c>
      <c r="G79" s="144" t="s">
        <v>28</v>
      </c>
      <c r="H79" s="144" t="s">
        <v>34</v>
      </c>
      <c r="I79" s="143" t="s">
        <v>26</v>
      </c>
      <c r="J79" s="145" t="s">
        <v>766</v>
      </c>
      <c r="K79" s="145" t="s">
        <v>767</v>
      </c>
      <c r="L79" s="145" t="s">
        <v>768</v>
      </c>
      <c r="M79" s="145" t="s">
        <v>817</v>
      </c>
      <c r="N79" s="143" t="s">
        <v>29</v>
      </c>
      <c r="O79" s="143" t="s">
        <v>30</v>
      </c>
      <c r="P79" s="145" t="s">
        <v>824</v>
      </c>
      <c r="Q79" s="147" t="s">
        <v>899</v>
      </c>
      <c r="R79" s="143" t="s">
        <v>848</v>
      </c>
      <c r="S79" s="156" t="s">
        <v>495</v>
      </c>
      <c r="T79" s="145" t="s">
        <v>31</v>
      </c>
      <c r="U79" s="143">
        <v>2022</v>
      </c>
      <c r="V79" s="145">
        <v>568.79999999999995</v>
      </c>
      <c r="W79" s="145">
        <v>4</v>
      </c>
      <c r="X79" s="143" t="s">
        <v>189</v>
      </c>
      <c r="Y79" s="145" t="s">
        <v>696</v>
      </c>
      <c r="Z79" s="168">
        <v>3230340</v>
      </c>
      <c r="AA79" s="145" t="s">
        <v>496</v>
      </c>
    </row>
    <row r="80" spans="1:27" ht="15.75" thickBot="1" x14ac:dyDescent="0.3">
      <c r="A80" s="159">
        <v>83</v>
      </c>
      <c r="B80" s="145" t="s">
        <v>818</v>
      </c>
      <c r="C80" s="143" t="s">
        <v>27</v>
      </c>
      <c r="D80" s="145" t="s">
        <v>698</v>
      </c>
      <c r="E80" s="143">
        <v>50629</v>
      </c>
      <c r="F80" s="143" t="s">
        <v>37</v>
      </c>
      <c r="G80" s="144" t="s">
        <v>28</v>
      </c>
      <c r="H80" s="144" t="s">
        <v>34</v>
      </c>
      <c r="I80" s="143" t="s">
        <v>26</v>
      </c>
      <c r="J80" s="145" t="s">
        <v>769</v>
      </c>
      <c r="K80" s="145" t="s">
        <v>770</v>
      </c>
      <c r="L80" s="145" t="s">
        <v>771</v>
      </c>
      <c r="M80" s="145" t="s">
        <v>818</v>
      </c>
      <c r="N80" s="143" t="s">
        <v>29</v>
      </c>
      <c r="O80" s="147" t="s">
        <v>774</v>
      </c>
      <c r="P80" s="145" t="s">
        <v>823</v>
      </c>
      <c r="Q80" s="147" t="s">
        <v>901</v>
      </c>
      <c r="R80" s="143" t="s">
        <v>849</v>
      </c>
      <c r="S80" s="156" t="s">
        <v>498</v>
      </c>
      <c r="T80" s="145" t="s">
        <v>249</v>
      </c>
      <c r="U80" s="143">
        <v>2022</v>
      </c>
      <c r="V80" s="145"/>
      <c r="W80" s="145">
        <v>4</v>
      </c>
      <c r="X80" s="143" t="s">
        <v>32</v>
      </c>
      <c r="Y80" s="145" t="s">
        <v>313</v>
      </c>
      <c r="Z80" s="145">
        <v>621813</v>
      </c>
      <c r="AA80" s="145" t="s">
        <v>499</v>
      </c>
    </row>
    <row r="81" spans="2:26" x14ac:dyDescent="0.25">
      <c r="B81" s="150"/>
      <c r="M81" s="150"/>
      <c r="Z81" s="168"/>
    </row>
    <row r="82" spans="2:26" x14ac:dyDescent="0.25">
      <c r="Z82" s="14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zoomScale="46" zoomScaleNormal="46" workbookViewId="0">
      <selection activeCell="S6" sqref="S6"/>
    </sheetView>
  </sheetViews>
  <sheetFormatPr defaultRowHeight="15" x14ac:dyDescent="0.25"/>
  <cols>
    <col min="1" max="1" width="13" customWidth="1"/>
    <col min="2" max="2" width="31.140625" customWidth="1"/>
    <col min="3" max="27" width="9.28515625" bestFit="1" customWidth="1"/>
    <col min="28" max="28" width="10.140625" bestFit="1" customWidth="1"/>
  </cols>
  <sheetData>
    <row r="1" spans="1:28" ht="172.5" thickBot="1" x14ac:dyDescent="0.3">
      <c r="A1" s="18" t="s">
        <v>25</v>
      </c>
      <c r="B1" s="25" t="s">
        <v>333</v>
      </c>
      <c r="C1" s="9" t="s">
        <v>317</v>
      </c>
      <c r="D1" s="10" t="s">
        <v>318</v>
      </c>
      <c r="E1" s="10" t="s">
        <v>319</v>
      </c>
      <c r="F1" s="10" t="s">
        <v>320</v>
      </c>
      <c r="G1" s="10" t="s">
        <v>321</v>
      </c>
      <c r="H1" s="10" t="s">
        <v>322</v>
      </c>
      <c r="I1" s="11" t="s">
        <v>0</v>
      </c>
      <c r="J1" s="12" t="s">
        <v>323</v>
      </c>
      <c r="K1" s="13" t="s">
        <v>324</v>
      </c>
      <c r="L1" s="13" t="s">
        <v>325</v>
      </c>
      <c r="M1" s="13" t="s">
        <v>326</v>
      </c>
      <c r="N1" s="13" t="s">
        <v>327</v>
      </c>
      <c r="O1" s="13" t="s">
        <v>328</v>
      </c>
      <c r="P1" s="14" t="s">
        <v>329</v>
      </c>
      <c r="Q1" s="12" t="s">
        <v>409</v>
      </c>
      <c r="R1" s="13" t="s">
        <v>527</v>
      </c>
      <c r="S1" s="13" t="s">
        <v>417</v>
      </c>
      <c r="T1" s="13" t="s">
        <v>514</v>
      </c>
      <c r="U1" s="14" t="s">
        <v>528</v>
      </c>
      <c r="V1" s="12" t="s">
        <v>408</v>
      </c>
      <c r="W1" s="13" t="s">
        <v>517</v>
      </c>
      <c r="X1" s="13" t="s">
        <v>513</v>
      </c>
      <c r="Y1" s="13" t="s">
        <v>512</v>
      </c>
      <c r="Z1" s="14" t="s">
        <v>516</v>
      </c>
      <c r="AA1" s="26" t="s">
        <v>330</v>
      </c>
      <c r="AB1" s="27" t="s">
        <v>331</v>
      </c>
    </row>
    <row r="2" spans="1:28" ht="15.75" thickBot="1" x14ac:dyDescent="0.3">
      <c r="A2" s="3"/>
      <c r="B2" s="32" t="s">
        <v>332</v>
      </c>
      <c r="C2" s="33">
        <v>5</v>
      </c>
      <c r="D2" s="34">
        <v>4</v>
      </c>
      <c r="E2" s="34">
        <v>5</v>
      </c>
      <c r="F2" s="34">
        <v>6</v>
      </c>
      <c r="G2" s="34">
        <v>5</v>
      </c>
      <c r="H2" s="34">
        <v>6</v>
      </c>
      <c r="I2" s="35">
        <v>2</v>
      </c>
      <c r="J2" s="33">
        <v>5</v>
      </c>
      <c r="K2" s="34">
        <v>6</v>
      </c>
      <c r="L2" s="34">
        <v>5</v>
      </c>
      <c r="M2" s="34">
        <v>6</v>
      </c>
      <c r="N2" s="34">
        <v>5</v>
      </c>
      <c r="O2" s="34">
        <v>5</v>
      </c>
      <c r="P2" s="36">
        <v>2</v>
      </c>
      <c r="Q2" s="33">
        <v>5</v>
      </c>
      <c r="R2" s="34">
        <v>5</v>
      </c>
      <c r="S2" s="34">
        <v>4</v>
      </c>
      <c r="T2" s="34">
        <v>7</v>
      </c>
      <c r="U2" s="36">
        <v>7</v>
      </c>
      <c r="V2" s="33">
        <v>6</v>
      </c>
      <c r="W2" s="34">
        <v>5</v>
      </c>
      <c r="X2" s="34">
        <v>6</v>
      </c>
      <c r="Y2" s="34">
        <v>7</v>
      </c>
      <c r="Z2" s="36">
        <v>6</v>
      </c>
      <c r="AA2" s="37">
        <f>SUM(V2:Z2)</f>
        <v>30</v>
      </c>
      <c r="AB2" s="36">
        <f>SUM(C2:Z2)</f>
        <v>125</v>
      </c>
    </row>
    <row r="3" spans="1:28" x14ac:dyDescent="0.25">
      <c r="A3" s="3">
        <v>1</v>
      </c>
      <c r="B3" s="28" t="s">
        <v>38</v>
      </c>
      <c r="C3" s="7">
        <v>93</v>
      </c>
      <c r="D3" s="15">
        <v>51</v>
      </c>
      <c r="E3" s="6">
        <v>51</v>
      </c>
      <c r="F3" s="6">
        <v>54</v>
      </c>
      <c r="G3" s="6">
        <v>54</v>
      </c>
      <c r="H3" s="29">
        <v>53</v>
      </c>
      <c r="I3" s="6">
        <v>57</v>
      </c>
      <c r="J3" s="6">
        <v>58</v>
      </c>
      <c r="K3" s="6">
        <v>59</v>
      </c>
      <c r="L3" s="6">
        <v>64</v>
      </c>
      <c r="M3" s="6">
        <v>51</v>
      </c>
      <c r="N3" s="6">
        <v>61</v>
      </c>
      <c r="O3" s="6">
        <v>77</v>
      </c>
      <c r="P3" s="6">
        <v>73</v>
      </c>
      <c r="Q3" s="30">
        <v>58</v>
      </c>
      <c r="R3" s="30">
        <v>76</v>
      </c>
      <c r="S3" s="30">
        <v>61</v>
      </c>
      <c r="T3" s="30">
        <v>62</v>
      </c>
      <c r="U3" s="30">
        <v>71</v>
      </c>
      <c r="V3" s="30"/>
      <c r="W3" s="30"/>
      <c r="X3" s="30"/>
      <c r="Y3" s="30"/>
      <c r="Z3" s="30"/>
      <c r="AA3" s="31">
        <f>SUMPRODUCT(Q3:U3,$P$3:$T$3)/SUM($P$3:$T$3)</f>
        <v>65.036363636363632</v>
      </c>
      <c r="AB3" s="31">
        <f>SUMPRODUCT(C3:U3,$C$3:$U$3)/SUM($C$3:$U$3)</f>
        <v>64.195945945945951</v>
      </c>
    </row>
    <row r="4" spans="1:28" x14ac:dyDescent="0.25">
      <c r="A4" s="3">
        <v>2</v>
      </c>
      <c r="B4" s="19" t="s">
        <v>39</v>
      </c>
      <c r="C4" s="5">
        <v>61</v>
      </c>
      <c r="D4" s="8">
        <v>100</v>
      </c>
      <c r="E4" s="5">
        <v>52</v>
      </c>
      <c r="F4" s="5">
        <v>81</v>
      </c>
      <c r="G4" s="5">
        <v>62</v>
      </c>
      <c r="H4" s="5">
        <v>53</v>
      </c>
      <c r="I4" s="5">
        <v>63</v>
      </c>
      <c r="J4" s="5">
        <v>52</v>
      </c>
      <c r="K4" s="5">
        <v>72</v>
      </c>
      <c r="L4" s="5">
        <v>51</v>
      </c>
      <c r="M4" s="5">
        <v>77</v>
      </c>
      <c r="N4" s="5">
        <v>64</v>
      </c>
      <c r="O4" s="5">
        <v>84</v>
      </c>
      <c r="P4" s="5">
        <v>72</v>
      </c>
      <c r="Q4" s="20">
        <v>66</v>
      </c>
      <c r="R4" s="20">
        <v>76</v>
      </c>
      <c r="S4" s="20">
        <v>58</v>
      </c>
      <c r="T4" s="20">
        <v>77</v>
      </c>
      <c r="U4" s="20">
        <v>67</v>
      </c>
      <c r="V4" s="20"/>
      <c r="W4" s="20"/>
      <c r="X4" s="20"/>
      <c r="Y4" s="20"/>
      <c r="Z4" s="20"/>
      <c r="AA4" s="21">
        <f t="shared" ref="AA4:AA33" si="0">SUMPRODUCT(Q4:U4,$P$3:$T$3)/SUM($P$3:$T$3)</f>
        <v>68.13636363636364</v>
      </c>
      <c r="AB4" s="21">
        <f t="shared" ref="AB4:AB33" si="1">SUMPRODUCT(C4:U4,$C$3:$U$3)/SUM($C$3:$U$3)</f>
        <v>67.823479729729726</v>
      </c>
    </row>
    <row r="5" spans="1:28" x14ac:dyDescent="0.25">
      <c r="A5" s="3">
        <v>3</v>
      </c>
      <c r="B5" s="19" t="s">
        <v>40</v>
      </c>
      <c r="C5" s="5">
        <v>95</v>
      </c>
      <c r="D5" s="8">
        <v>82</v>
      </c>
      <c r="E5" s="5">
        <v>67</v>
      </c>
      <c r="F5" s="5">
        <v>61</v>
      </c>
      <c r="G5" s="5">
        <v>63</v>
      </c>
      <c r="H5" s="5">
        <v>79</v>
      </c>
      <c r="I5" s="5">
        <v>91</v>
      </c>
      <c r="J5" s="5">
        <v>81</v>
      </c>
      <c r="K5" s="5">
        <v>85</v>
      </c>
      <c r="L5" s="5">
        <v>71</v>
      </c>
      <c r="M5" s="5">
        <v>78</v>
      </c>
      <c r="N5" s="5">
        <v>91</v>
      </c>
      <c r="O5" s="5">
        <v>84</v>
      </c>
      <c r="P5" s="5">
        <v>92</v>
      </c>
      <c r="Q5" s="20">
        <v>76</v>
      </c>
      <c r="R5" s="20">
        <v>74</v>
      </c>
      <c r="S5" s="20">
        <v>92</v>
      </c>
      <c r="T5" s="20">
        <v>91</v>
      </c>
      <c r="U5" s="20">
        <v>84</v>
      </c>
      <c r="V5" s="20"/>
      <c r="W5" s="20"/>
      <c r="X5" s="20"/>
      <c r="Y5" s="20"/>
      <c r="Z5" s="20"/>
      <c r="AA5" s="21">
        <f t="shared" si="0"/>
        <v>83.609090909090909</v>
      </c>
      <c r="AB5" s="21">
        <f t="shared" si="1"/>
        <v>81.692567567567565</v>
      </c>
    </row>
    <row r="6" spans="1:28" x14ac:dyDescent="0.25">
      <c r="A6" s="3">
        <v>4</v>
      </c>
      <c r="B6" s="19" t="s">
        <v>41</v>
      </c>
      <c r="C6" s="5">
        <v>61</v>
      </c>
      <c r="D6" s="16">
        <v>68</v>
      </c>
      <c r="E6" s="5">
        <v>52</v>
      </c>
      <c r="F6" s="5">
        <v>71</v>
      </c>
      <c r="G6" s="17">
        <v>55</v>
      </c>
      <c r="H6" s="17">
        <v>55</v>
      </c>
      <c r="I6" s="5">
        <v>51</v>
      </c>
      <c r="J6" s="5">
        <v>51</v>
      </c>
      <c r="K6" s="5">
        <v>62</v>
      </c>
      <c r="L6" s="5">
        <v>51</v>
      </c>
      <c r="M6" s="5">
        <v>52</v>
      </c>
      <c r="N6" s="5">
        <v>51</v>
      </c>
      <c r="O6" s="5">
        <v>67</v>
      </c>
      <c r="P6" s="5">
        <v>76</v>
      </c>
      <c r="Q6" s="20">
        <v>56</v>
      </c>
      <c r="R6" s="20">
        <v>77</v>
      </c>
      <c r="S6" s="20">
        <v>62</v>
      </c>
      <c r="T6" s="20">
        <v>63</v>
      </c>
      <c r="U6" s="20">
        <v>54</v>
      </c>
      <c r="V6" s="20"/>
      <c r="W6" s="20"/>
      <c r="X6" s="20"/>
      <c r="Y6" s="20"/>
      <c r="Z6" s="20"/>
      <c r="AA6" s="21">
        <f t="shared" si="0"/>
        <v>61.990909090909092</v>
      </c>
      <c r="AB6" s="21">
        <f t="shared" si="1"/>
        <v>60.296452702702702</v>
      </c>
    </row>
    <row r="7" spans="1:28" x14ac:dyDescent="0.25">
      <c r="A7" s="3">
        <v>5</v>
      </c>
      <c r="B7" s="19" t="s">
        <v>42</v>
      </c>
      <c r="C7" s="5">
        <v>91</v>
      </c>
      <c r="D7" s="16">
        <v>62</v>
      </c>
      <c r="E7" s="5">
        <v>61</v>
      </c>
      <c r="F7" s="5">
        <v>51</v>
      </c>
      <c r="G7" s="5">
        <v>51</v>
      </c>
      <c r="H7" s="17">
        <v>52</v>
      </c>
      <c r="I7" s="5">
        <v>51</v>
      </c>
      <c r="J7" s="5">
        <v>51</v>
      </c>
      <c r="K7" s="5">
        <v>57</v>
      </c>
      <c r="L7" s="5">
        <v>66</v>
      </c>
      <c r="M7" s="5">
        <v>51</v>
      </c>
      <c r="N7" s="5">
        <v>61</v>
      </c>
      <c r="O7" s="5">
        <v>78</v>
      </c>
      <c r="P7" s="5">
        <v>54</v>
      </c>
      <c r="Q7" s="5">
        <v>51</v>
      </c>
      <c r="R7" s="17">
        <v>64</v>
      </c>
      <c r="S7" s="5">
        <v>52</v>
      </c>
      <c r="T7" s="5">
        <v>59</v>
      </c>
      <c r="U7" s="5">
        <v>84</v>
      </c>
      <c r="V7" s="5"/>
      <c r="W7" s="5"/>
      <c r="X7" s="5"/>
      <c r="Y7" s="5"/>
      <c r="Z7" s="5"/>
      <c r="AA7" s="22">
        <f t="shared" si="0"/>
        <v>61.193939393939395</v>
      </c>
      <c r="AB7" s="21">
        <f t="shared" si="1"/>
        <v>61.940878378378379</v>
      </c>
    </row>
    <row r="8" spans="1:28" x14ac:dyDescent="0.25">
      <c r="A8" s="3">
        <v>6</v>
      </c>
      <c r="B8" s="19" t="s">
        <v>43</v>
      </c>
      <c r="C8" s="5">
        <v>74</v>
      </c>
      <c r="D8" s="8">
        <v>73</v>
      </c>
      <c r="E8" s="5">
        <v>51</v>
      </c>
      <c r="F8" s="5">
        <v>56</v>
      </c>
      <c r="G8" s="5">
        <v>62</v>
      </c>
      <c r="H8" s="5">
        <v>52</v>
      </c>
      <c r="I8" s="5">
        <v>82</v>
      </c>
      <c r="J8" s="5">
        <v>73</v>
      </c>
      <c r="K8" s="5">
        <v>72</v>
      </c>
      <c r="L8" s="5">
        <v>61</v>
      </c>
      <c r="M8" s="5">
        <v>65</v>
      </c>
      <c r="N8" s="5">
        <v>55</v>
      </c>
      <c r="O8" s="5">
        <v>97</v>
      </c>
      <c r="P8" s="5">
        <v>62</v>
      </c>
      <c r="Q8" s="20">
        <v>61</v>
      </c>
      <c r="R8" s="20">
        <v>77</v>
      </c>
      <c r="S8" s="20">
        <v>64</v>
      </c>
      <c r="T8" s="20">
        <v>76</v>
      </c>
      <c r="U8" s="20">
        <v>66</v>
      </c>
      <c r="V8" s="20"/>
      <c r="W8" s="20"/>
      <c r="X8" s="20"/>
      <c r="Y8" s="20"/>
      <c r="Z8" s="20"/>
      <c r="AA8" s="21">
        <f t="shared" si="0"/>
        <v>68.215151515151518</v>
      </c>
      <c r="AB8" s="21">
        <f t="shared" si="1"/>
        <v>68.201858108108112</v>
      </c>
    </row>
    <row r="9" spans="1:28" x14ac:dyDescent="0.25">
      <c r="A9" s="3">
        <v>7</v>
      </c>
      <c r="B9" s="19" t="s">
        <v>44</v>
      </c>
      <c r="C9" s="5">
        <v>73</v>
      </c>
      <c r="D9" s="16">
        <v>73</v>
      </c>
      <c r="E9" s="5">
        <v>55</v>
      </c>
      <c r="F9" s="5">
        <v>57</v>
      </c>
      <c r="G9" s="17">
        <v>62</v>
      </c>
      <c r="H9" s="5">
        <v>61</v>
      </c>
      <c r="I9" s="5">
        <v>62</v>
      </c>
      <c r="J9" s="5">
        <v>51</v>
      </c>
      <c r="K9" s="5">
        <v>62</v>
      </c>
      <c r="L9" s="5">
        <v>62</v>
      </c>
      <c r="M9" s="5">
        <v>56</v>
      </c>
      <c r="N9" s="5">
        <v>71</v>
      </c>
      <c r="O9" s="5">
        <v>100</v>
      </c>
      <c r="P9" s="5">
        <v>65</v>
      </c>
      <c r="Q9" s="20">
        <v>57</v>
      </c>
      <c r="R9" s="20">
        <v>61</v>
      </c>
      <c r="S9" s="20">
        <v>63</v>
      </c>
      <c r="T9" s="20">
        <v>68</v>
      </c>
      <c r="U9" s="20">
        <v>74</v>
      </c>
      <c r="V9" s="20"/>
      <c r="W9" s="20"/>
      <c r="X9" s="20"/>
      <c r="Y9" s="20"/>
      <c r="Z9" s="20"/>
      <c r="AA9" s="21">
        <f t="shared" si="0"/>
        <v>64.312121212121212</v>
      </c>
      <c r="AB9" s="21">
        <f t="shared" si="1"/>
        <v>65.862331081081081</v>
      </c>
    </row>
    <row r="10" spans="1:28" x14ac:dyDescent="0.25">
      <c r="A10" s="3">
        <v>8</v>
      </c>
      <c r="B10" s="19" t="s">
        <v>45</v>
      </c>
      <c r="C10" s="5">
        <v>76</v>
      </c>
      <c r="D10" s="16">
        <v>52</v>
      </c>
      <c r="E10" s="5">
        <v>51</v>
      </c>
      <c r="F10" s="5">
        <v>51</v>
      </c>
      <c r="G10" s="17">
        <v>51</v>
      </c>
      <c r="H10" s="17">
        <v>53</v>
      </c>
      <c r="I10" s="5">
        <v>51</v>
      </c>
      <c r="J10" s="5">
        <v>51</v>
      </c>
      <c r="K10" s="5">
        <v>53</v>
      </c>
      <c r="L10" s="5">
        <v>51</v>
      </c>
      <c r="M10" s="17">
        <v>64</v>
      </c>
      <c r="N10" s="5">
        <v>51</v>
      </c>
      <c r="O10" s="5">
        <v>57</v>
      </c>
      <c r="P10" s="5">
        <v>62</v>
      </c>
      <c r="Q10" s="20">
        <v>57</v>
      </c>
      <c r="R10" s="20">
        <v>74</v>
      </c>
      <c r="S10" s="20">
        <v>52</v>
      </c>
      <c r="T10" s="20">
        <v>69</v>
      </c>
      <c r="U10" s="20">
        <v>67</v>
      </c>
      <c r="V10" s="20"/>
      <c r="W10" s="20"/>
      <c r="X10" s="20"/>
      <c r="Y10" s="20"/>
      <c r="Z10" s="20"/>
      <c r="AA10" s="21">
        <f t="shared" si="0"/>
        <v>62.93333333333333</v>
      </c>
      <c r="AB10" s="21">
        <f t="shared" si="1"/>
        <v>58.548141891891895</v>
      </c>
    </row>
    <row r="11" spans="1:28" x14ac:dyDescent="0.25">
      <c r="A11" s="3">
        <v>9</v>
      </c>
      <c r="B11" s="19" t="s">
        <v>46</v>
      </c>
      <c r="C11" s="5">
        <v>91</v>
      </c>
      <c r="D11" s="8">
        <v>89</v>
      </c>
      <c r="E11" s="5">
        <v>76</v>
      </c>
      <c r="F11" s="5">
        <v>83</v>
      </c>
      <c r="G11" s="5">
        <v>71</v>
      </c>
      <c r="H11" s="5">
        <v>95</v>
      </c>
      <c r="I11" s="5">
        <v>82</v>
      </c>
      <c r="J11" s="5">
        <v>77</v>
      </c>
      <c r="K11" s="5">
        <v>82</v>
      </c>
      <c r="L11" s="5">
        <v>71</v>
      </c>
      <c r="M11" s="5">
        <v>98</v>
      </c>
      <c r="N11" s="5">
        <v>81</v>
      </c>
      <c r="O11" s="5">
        <v>92</v>
      </c>
      <c r="P11" s="5">
        <v>77</v>
      </c>
      <c r="Q11" s="20">
        <v>52</v>
      </c>
      <c r="R11" s="20">
        <v>75</v>
      </c>
      <c r="S11" s="20">
        <v>84</v>
      </c>
      <c r="T11" s="20">
        <v>75</v>
      </c>
      <c r="U11" s="20">
        <v>81</v>
      </c>
      <c r="V11" s="20"/>
      <c r="W11" s="20"/>
      <c r="X11" s="20"/>
      <c r="Y11" s="20"/>
      <c r="Z11" s="20"/>
      <c r="AA11" s="21">
        <f t="shared" si="0"/>
        <v>73.11212121212121</v>
      </c>
      <c r="AB11" s="21">
        <f t="shared" si="1"/>
        <v>80.773648648648646</v>
      </c>
    </row>
    <row r="12" spans="1:28" x14ac:dyDescent="0.25">
      <c r="A12" s="3">
        <v>10</v>
      </c>
      <c r="B12" s="19" t="s">
        <v>47</v>
      </c>
      <c r="C12" s="5">
        <v>85</v>
      </c>
      <c r="D12" s="8">
        <v>88</v>
      </c>
      <c r="E12" s="5">
        <v>82</v>
      </c>
      <c r="F12" s="5">
        <v>81</v>
      </c>
      <c r="G12" s="5">
        <v>51</v>
      </c>
      <c r="H12" s="5">
        <v>64</v>
      </c>
      <c r="I12" s="5">
        <v>74</v>
      </c>
      <c r="J12" s="5">
        <v>51</v>
      </c>
      <c r="K12" s="5">
        <v>74</v>
      </c>
      <c r="L12" s="5">
        <v>52</v>
      </c>
      <c r="M12" s="5">
        <v>66</v>
      </c>
      <c r="N12" s="5">
        <v>71</v>
      </c>
      <c r="O12" s="5">
        <v>70</v>
      </c>
      <c r="P12" s="5">
        <v>72</v>
      </c>
      <c r="Q12" s="20">
        <v>82</v>
      </c>
      <c r="R12" s="20">
        <v>88</v>
      </c>
      <c r="S12" s="20">
        <v>88</v>
      </c>
      <c r="T12" s="20">
        <v>76</v>
      </c>
      <c r="U12" s="20">
        <v>92</v>
      </c>
      <c r="V12" s="20"/>
      <c r="W12" s="20"/>
      <c r="X12" s="20"/>
      <c r="Y12" s="20"/>
      <c r="Z12" s="20"/>
      <c r="AA12" s="21">
        <f t="shared" si="0"/>
        <v>85.206060606060603</v>
      </c>
      <c r="AB12" s="21">
        <f t="shared" si="1"/>
        <v>74.631756756756758</v>
      </c>
    </row>
    <row r="13" spans="1:28" x14ac:dyDescent="0.25">
      <c r="A13" s="3">
        <v>11</v>
      </c>
      <c r="B13" s="19" t="s">
        <v>48</v>
      </c>
      <c r="C13" s="5">
        <v>98</v>
      </c>
      <c r="D13" s="8">
        <v>76</v>
      </c>
      <c r="E13" s="5">
        <v>100</v>
      </c>
      <c r="F13" s="5">
        <v>99</v>
      </c>
      <c r="G13" s="5">
        <v>71</v>
      </c>
      <c r="H13" s="5">
        <v>100</v>
      </c>
      <c r="I13" s="5">
        <v>91</v>
      </c>
      <c r="J13" s="5">
        <v>94</v>
      </c>
      <c r="K13" s="5">
        <v>98</v>
      </c>
      <c r="L13" s="5">
        <v>92</v>
      </c>
      <c r="M13" s="5">
        <v>100</v>
      </c>
      <c r="N13" s="5">
        <v>92</v>
      </c>
      <c r="O13" s="5">
        <v>92</v>
      </c>
      <c r="P13" s="5">
        <v>97</v>
      </c>
      <c r="Q13" s="20">
        <v>86</v>
      </c>
      <c r="R13" s="20">
        <v>100</v>
      </c>
      <c r="S13" s="20">
        <v>99</v>
      </c>
      <c r="T13" s="20">
        <v>91</v>
      </c>
      <c r="U13" s="20">
        <v>93</v>
      </c>
      <c r="V13" s="20"/>
      <c r="W13" s="20"/>
      <c r="X13" s="20"/>
      <c r="Y13" s="20"/>
      <c r="Z13" s="20"/>
      <c r="AA13" s="21">
        <f t="shared" si="0"/>
        <v>93.693939393939388</v>
      </c>
      <c r="AB13" s="21">
        <f t="shared" si="1"/>
        <v>93.435810810810807</v>
      </c>
    </row>
    <row r="14" spans="1:28" x14ac:dyDescent="0.25">
      <c r="A14" s="3">
        <v>12</v>
      </c>
      <c r="B14" s="19" t="s">
        <v>49</v>
      </c>
      <c r="C14" s="5">
        <v>87</v>
      </c>
      <c r="D14" s="8">
        <v>92</v>
      </c>
      <c r="E14" s="5">
        <v>71</v>
      </c>
      <c r="F14" s="5">
        <v>85</v>
      </c>
      <c r="G14" s="5">
        <v>73</v>
      </c>
      <c r="H14" s="5">
        <v>78</v>
      </c>
      <c r="I14" s="5">
        <v>92</v>
      </c>
      <c r="J14" s="5">
        <v>77</v>
      </c>
      <c r="K14" s="5">
        <v>83</v>
      </c>
      <c r="L14" s="5">
        <v>86</v>
      </c>
      <c r="M14" s="5">
        <v>71</v>
      </c>
      <c r="N14" s="5">
        <v>74</v>
      </c>
      <c r="O14" s="5">
        <v>92</v>
      </c>
      <c r="P14" s="5">
        <v>88</v>
      </c>
      <c r="Q14" s="20">
        <v>73</v>
      </c>
      <c r="R14" s="20">
        <v>73</v>
      </c>
      <c r="S14" s="20">
        <v>96</v>
      </c>
      <c r="T14" s="20">
        <v>91</v>
      </c>
      <c r="U14" s="20">
        <v>76</v>
      </c>
      <c r="V14" s="20"/>
      <c r="W14" s="20"/>
      <c r="X14" s="20"/>
      <c r="Y14" s="20"/>
      <c r="Z14" s="20"/>
      <c r="AA14" s="21">
        <f t="shared" si="0"/>
        <v>82.187878787878788</v>
      </c>
      <c r="AB14" s="21">
        <f t="shared" si="1"/>
        <v>82.347972972972968</v>
      </c>
    </row>
    <row r="15" spans="1:28" x14ac:dyDescent="0.25">
      <c r="A15" s="3">
        <v>13</v>
      </c>
      <c r="B15" s="19" t="s">
        <v>50</v>
      </c>
      <c r="C15" s="5">
        <v>84</v>
      </c>
      <c r="D15" s="8">
        <v>76</v>
      </c>
      <c r="E15" s="5">
        <v>64</v>
      </c>
      <c r="F15" s="5">
        <v>61</v>
      </c>
      <c r="G15" s="5">
        <v>51</v>
      </c>
      <c r="H15" s="5">
        <v>100</v>
      </c>
      <c r="I15" s="5">
        <v>55</v>
      </c>
      <c r="J15" s="5">
        <v>51</v>
      </c>
      <c r="K15" s="5">
        <v>83</v>
      </c>
      <c r="L15" s="5">
        <v>58</v>
      </c>
      <c r="M15" s="5">
        <v>92</v>
      </c>
      <c r="N15" s="5">
        <v>71</v>
      </c>
      <c r="O15" s="5">
        <v>94</v>
      </c>
      <c r="P15" s="5">
        <v>75</v>
      </c>
      <c r="Q15" s="20">
        <v>54</v>
      </c>
      <c r="R15" s="20">
        <v>79</v>
      </c>
      <c r="S15" s="20">
        <v>95</v>
      </c>
      <c r="T15" s="20">
        <v>94</v>
      </c>
      <c r="U15" s="20">
        <v>92</v>
      </c>
      <c r="V15" s="20"/>
      <c r="W15" s="20"/>
      <c r="X15" s="20"/>
      <c r="Y15" s="20"/>
      <c r="Z15" s="20"/>
      <c r="AA15" s="21">
        <f t="shared" si="0"/>
        <v>82.369696969696975</v>
      </c>
      <c r="AB15" s="21">
        <f t="shared" si="1"/>
        <v>76.038006756756758</v>
      </c>
    </row>
    <row r="16" spans="1:28" x14ac:dyDescent="0.25">
      <c r="A16" s="3">
        <v>14</v>
      </c>
      <c r="B16" s="19" t="s">
        <v>51</v>
      </c>
      <c r="C16" s="5">
        <v>61</v>
      </c>
      <c r="D16" s="8">
        <v>97</v>
      </c>
      <c r="E16" s="5">
        <v>83</v>
      </c>
      <c r="F16" s="5">
        <v>81</v>
      </c>
      <c r="G16" s="5">
        <v>71</v>
      </c>
      <c r="H16" s="5">
        <v>97</v>
      </c>
      <c r="I16" s="5">
        <v>82</v>
      </c>
      <c r="J16" s="5">
        <v>63</v>
      </c>
      <c r="K16" s="5">
        <v>85</v>
      </c>
      <c r="L16" s="5">
        <v>85</v>
      </c>
      <c r="M16" s="5">
        <v>100</v>
      </c>
      <c r="N16" s="5">
        <v>61</v>
      </c>
      <c r="O16" s="5">
        <v>94</v>
      </c>
      <c r="P16" s="5">
        <v>88</v>
      </c>
      <c r="Q16" s="20">
        <v>71</v>
      </c>
      <c r="R16" s="20">
        <v>78</v>
      </c>
      <c r="S16" s="20">
        <v>92</v>
      </c>
      <c r="T16" s="20">
        <v>93</v>
      </c>
      <c r="U16" s="20">
        <v>77</v>
      </c>
      <c r="V16" s="20"/>
      <c r="W16" s="20"/>
      <c r="X16" s="20"/>
      <c r="Y16" s="20"/>
      <c r="Z16" s="20"/>
      <c r="AA16" s="21">
        <f t="shared" si="0"/>
        <v>82.260606060606065</v>
      </c>
      <c r="AB16" s="21">
        <f t="shared" si="1"/>
        <v>81.384290540540547</v>
      </c>
    </row>
    <row r="17" spans="1:28" x14ac:dyDescent="0.25">
      <c r="A17" s="3">
        <v>15</v>
      </c>
      <c r="B17" s="19" t="s">
        <v>52</v>
      </c>
      <c r="C17" s="5">
        <v>93</v>
      </c>
      <c r="D17" s="8">
        <v>71</v>
      </c>
      <c r="E17" s="5">
        <v>76</v>
      </c>
      <c r="F17" s="5">
        <v>76</v>
      </c>
      <c r="G17" s="5">
        <v>71</v>
      </c>
      <c r="H17" s="5">
        <v>91</v>
      </c>
      <c r="I17" s="5">
        <v>71</v>
      </c>
      <c r="J17" s="5">
        <v>75</v>
      </c>
      <c r="K17" s="5">
        <v>91</v>
      </c>
      <c r="L17" s="5">
        <v>71</v>
      </c>
      <c r="M17" s="5">
        <v>92</v>
      </c>
      <c r="N17" s="5">
        <v>74</v>
      </c>
      <c r="O17" s="5">
        <v>94</v>
      </c>
      <c r="P17" s="5">
        <v>81</v>
      </c>
      <c r="Q17" s="20">
        <v>71</v>
      </c>
      <c r="R17" s="20">
        <v>92</v>
      </c>
      <c r="S17" s="20">
        <v>96</v>
      </c>
      <c r="T17" s="20">
        <v>91</v>
      </c>
      <c r="U17" s="20">
        <v>92</v>
      </c>
      <c r="V17" s="20"/>
      <c r="W17" s="20"/>
      <c r="X17" s="20"/>
      <c r="Y17" s="20"/>
      <c r="Z17" s="20"/>
      <c r="AA17" s="21">
        <f t="shared" si="0"/>
        <v>88.090909090909093</v>
      </c>
      <c r="AB17" s="21">
        <f t="shared" si="1"/>
        <v>83.373310810810807</v>
      </c>
    </row>
    <row r="18" spans="1:28" x14ac:dyDescent="0.25">
      <c r="A18" s="3">
        <v>16</v>
      </c>
      <c r="B18" s="19" t="s">
        <v>53</v>
      </c>
      <c r="C18" s="5">
        <v>71</v>
      </c>
      <c r="D18" s="8">
        <v>81</v>
      </c>
      <c r="E18" s="5">
        <v>76</v>
      </c>
      <c r="F18" s="5">
        <v>71</v>
      </c>
      <c r="G18" s="5">
        <v>73</v>
      </c>
      <c r="H18" s="5">
        <v>73</v>
      </c>
      <c r="I18" s="5">
        <v>91</v>
      </c>
      <c r="J18" s="5">
        <v>72</v>
      </c>
      <c r="K18" s="5">
        <v>71</v>
      </c>
      <c r="L18" s="5">
        <v>71</v>
      </c>
      <c r="M18" s="5">
        <v>72</v>
      </c>
      <c r="N18" s="5">
        <v>71</v>
      </c>
      <c r="O18" s="5">
        <v>94</v>
      </c>
      <c r="P18" s="5">
        <v>73</v>
      </c>
      <c r="Q18" s="20">
        <v>72</v>
      </c>
      <c r="R18" s="20">
        <v>72</v>
      </c>
      <c r="S18" s="20">
        <v>79</v>
      </c>
      <c r="T18" s="20">
        <v>76</v>
      </c>
      <c r="U18" s="20">
        <v>91</v>
      </c>
      <c r="V18" s="20"/>
      <c r="W18" s="20"/>
      <c r="X18" s="20"/>
      <c r="Y18" s="20"/>
      <c r="Z18" s="20"/>
      <c r="AA18" s="21">
        <f t="shared" si="0"/>
        <v>77.921212121212122</v>
      </c>
      <c r="AB18" s="21">
        <f t="shared" si="1"/>
        <v>76.487331081081081</v>
      </c>
    </row>
    <row r="19" spans="1:28" x14ac:dyDescent="0.25">
      <c r="A19" s="3">
        <v>17</v>
      </c>
      <c r="B19" s="19" t="s">
        <v>54</v>
      </c>
      <c r="C19" s="5">
        <v>86</v>
      </c>
      <c r="D19" s="8">
        <v>92</v>
      </c>
      <c r="E19" s="5">
        <v>71</v>
      </c>
      <c r="F19" s="5">
        <v>94</v>
      </c>
      <c r="G19" s="5">
        <v>68</v>
      </c>
      <c r="H19" s="5">
        <v>83</v>
      </c>
      <c r="I19" s="5">
        <v>67</v>
      </c>
      <c r="J19" s="5">
        <v>55</v>
      </c>
      <c r="K19" s="5">
        <v>93</v>
      </c>
      <c r="L19" s="5">
        <v>71</v>
      </c>
      <c r="M19" s="5">
        <v>92</v>
      </c>
      <c r="N19" s="5">
        <v>96</v>
      </c>
      <c r="O19" s="5">
        <v>96</v>
      </c>
      <c r="P19" s="5">
        <v>78</v>
      </c>
      <c r="Q19" s="20">
        <v>78</v>
      </c>
      <c r="R19" s="20">
        <v>100</v>
      </c>
      <c r="S19" s="20">
        <v>76</v>
      </c>
      <c r="T19" s="20">
        <v>88</v>
      </c>
      <c r="U19" s="20">
        <v>94</v>
      </c>
      <c r="V19" s="20"/>
      <c r="W19" s="20"/>
      <c r="X19" s="20"/>
      <c r="Y19" s="20"/>
      <c r="Z19" s="20"/>
      <c r="AA19" s="21">
        <f t="shared" si="0"/>
        <v>86.260606060606065</v>
      </c>
      <c r="AB19" s="21">
        <f t="shared" si="1"/>
        <v>83.633445945945951</v>
      </c>
    </row>
    <row r="20" spans="1:28" x14ac:dyDescent="0.25">
      <c r="A20" s="3">
        <v>18</v>
      </c>
      <c r="B20" s="19" t="s">
        <v>55</v>
      </c>
      <c r="C20" s="5">
        <v>61</v>
      </c>
      <c r="D20" s="8">
        <v>74</v>
      </c>
      <c r="E20" s="5">
        <v>72</v>
      </c>
      <c r="F20" s="5">
        <v>51</v>
      </c>
      <c r="G20" s="5">
        <v>51</v>
      </c>
      <c r="H20" s="5">
        <v>51</v>
      </c>
      <c r="I20" s="5">
        <v>71</v>
      </c>
      <c r="J20" s="5">
        <v>62</v>
      </c>
      <c r="K20" s="5">
        <v>65</v>
      </c>
      <c r="L20" s="5">
        <v>54</v>
      </c>
      <c r="M20" s="5">
        <v>60</v>
      </c>
      <c r="N20" s="5">
        <v>65</v>
      </c>
      <c r="O20" s="5">
        <v>77</v>
      </c>
      <c r="P20" s="5">
        <v>77</v>
      </c>
      <c r="Q20" s="20">
        <v>72</v>
      </c>
      <c r="R20" s="20">
        <v>73</v>
      </c>
      <c r="S20" s="20">
        <v>72</v>
      </c>
      <c r="T20" s="20">
        <v>96</v>
      </c>
      <c r="U20" s="20">
        <v>71</v>
      </c>
      <c r="V20" s="20"/>
      <c r="W20" s="20"/>
      <c r="X20" s="20"/>
      <c r="Y20" s="20"/>
      <c r="Z20" s="20"/>
      <c r="AA20" s="21">
        <f t="shared" si="0"/>
        <v>76.424242424242422</v>
      </c>
      <c r="AB20" s="21">
        <f t="shared" si="1"/>
        <v>67.523648648648646</v>
      </c>
    </row>
    <row r="21" spans="1:28" x14ac:dyDescent="0.25">
      <c r="A21" s="3">
        <v>19</v>
      </c>
      <c r="B21" s="19" t="s">
        <v>56</v>
      </c>
      <c r="C21" s="5">
        <v>76</v>
      </c>
      <c r="D21" s="16">
        <v>61</v>
      </c>
      <c r="E21" s="5">
        <v>51</v>
      </c>
      <c r="F21" s="5">
        <v>61</v>
      </c>
      <c r="G21" s="17">
        <v>67</v>
      </c>
      <c r="H21" s="5">
        <v>58</v>
      </c>
      <c r="I21" s="5">
        <v>55</v>
      </c>
      <c r="J21" s="5">
        <v>61</v>
      </c>
      <c r="K21" s="5">
        <v>61</v>
      </c>
      <c r="L21" s="5">
        <v>53</v>
      </c>
      <c r="M21" s="5">
        <v>57</v>
      </c>
      <c r="N21" s="5">
        <v>71</v>
      </c>
      <c r="O21" s="5">
        <v>94</v>
      </c>
      <c r="P21" s="5">
        <v>64</v>
      </c>
      <c r="Q21" s="20">
        <v>66</v>
      </c>
      <c r="R21" s="20">
        <v>54</v>
      </c>
      <c r="S21" s="20">
        <v>58</v>
      </c>
      <c r="T21" s="20">
        <v>62</v>
      </c>
      <c r="U21" s="20">
        <v>61</v>
      </c>
      <c r="V21" s="20"/>
      <c r="W21" s="20"/>
      <c r="X21" s="20"/>
      <c r="Y21" s="20"/>
      <c r="Z21" s="20"/>
      <c r="AA21" s="21">
        <f t="shared" si="0"/>
        <v>60.369696969696967</v>
      </c>
      <c r="AB21" s="21">
        <f t="shared" si="1"/>
        <v>63.532939189189186</v>
      </c>
    </row>
    <row r="22" spans="1:28" x14ac:dyDescent="0.25">
      <c r="A22" s="3">
        <v>20</v>
      </c>
      <c r="B22" s="19" t="s">
        <v>57</v>
      </c>
      <c r="C22" s="5">
        <v>83</v>
      </c>
      <c r="D22" s="8">
        <v>82</v>
      </c>
      <c r="E22" s="5">
        <v>54</v>
      </c>
      <c r="F22" s="5">
        <v>75</v>
      </c>
      <c r="G22" s="5">
        <v>75</v>
      </c>
      <c r="H22" s="5">
        <v>52</v>
      </c>
      <c r="I22" s="5">
        <v>63</v>
      </c>
      <c r="J22" s="5">
        <v>53</v>
      </c>
      <c r="K22" s="5">
        <v>73</v>
      </c>
      <c r="L22" s="5">
        <v>73</v>
      </c>
      <c r="M22" s="5">
        <v>62</v>
      </c>
      <c r="N22" s="5">
        <v>53</v>
      </c>
      <c r="O22" s="5">
        <v>75</v>
      </c>
      <c r="P22" s="5">
        <v>73</v>
      </c>
      <c r="Q22" s="20">
        <v>71</v>
      </c>
      <c r="R22" s="20">
        <v>71</v>
      </c>
      <c r="S22" s="20">
        <v>71</v>
      </c>
      <c r="T22" s="20">
        <v>75</v>
      </c>
      <c r="U22" s="20">
        <v>91</v>
      </c>
      <c r="V22" s="20"/>
      <c r="W22" s="20"/>
      <c r="X22" s="20"/>
      <c r="Y22" s="20"/>
      <c r="Z22" s="20"/>
      <c r="AA22" s="21">
        <f t="shared" si="0"/>
        <v>75.4969696969697</v>
      </c>
      <c r="AB22" s="21">
        <f t="shared" si="1"/>
        <v>70.616554054054049</v>
      </c>
    </row>
    <row r="23" spans="1:28" x14ac:dyDescent="0.25">
      <c r="A23" s="3">
        <v>21</v>
      </c>
      <c r="B23" s="19" t="s">
        <v>58</v>
      </c>
      <c r="C23" s="5">
        <v>71</v>
      </c>
      <c r="D23" s="8">
        <v>82</v>
      </c>
      <c r="E23" s="5">
        <v>51</v>
      </c>
      <c r="F23" s="5">
        <v>71</v>
      </c>
      <c r="G23" s="5">
        <v>68</v>
      </c>
      <c r="H23" s="5">
        <v>72</v>
      </c>
      <c r="I23" s="5">
        <v>78</v>
      </c>
      <c r="J23" s="5">
        <v>55</v>
      </c>
      <c r="K23" s="5">
        <v>67</v>
      </c>
      <c r="L23" s="5">
        <v>55</v>
      </c>
      <c r="M23" s="5">
        <v>79</v>
      </c>
      <c r="N23" s="5">
        <v>61</v>
      </c>
      <c r="O23" s="5">
        <v>82</v>
      </c>
      <c r="P23" s="5">
        <v>78</v>
      </c>
      <c r="Q23" s="20">
        <v>63</v>
      </c>
      <c r="R23" s="20">
        <v>61</v>
      </c>
      <c r="S23" s="20">
        <v>75</v>
      </c>
      <c r="T23" s="20">
        <v>82</v>
      </c>
      <c r="U23" s="20">
        <v>82</v>
      </c>
      <c r="V23" s="20"/>
      <c r="W23" s="20"/>
      <c r="X23" s="20"/>
      <c r="Y23" s="20"/>
      <c r="Z23" s="20"/>
      <c r="AA23" s="21">
        <f t="shared" si="0"/>
        <v>72.493939393939399</v>
      </c>
      <c r="AB23" s="21">
        <f t="shared" si="1"/>
        <v>70.393581081081081</v>
      </c>
    </row>
    <row r="24" spans="1:28" x14ac:dyDescent="0.25">
      <c r="A24" s="3">
        <v>22</v>
      </c>
      <c r="B24" s="19" t="s">
        <v>59</v>
      </c>
      <c r="C24" s="5">
        <v>84</v>
      </c>
      <c r="D24" s="16">
        <v>57</v>
      </c>
      <c r="E24" s="5">
        <v>53</v>
      </c>
      <c r="F24" s="5">
        <v>51</v>
      </c>
      <c r="G24" s="17">
        <v>54</v>
      </c>
      <c r="H24" s="17">
        <v>52</v>
      </c>
      <c r="I24" s="5">
        <v>51</v>
      </c>
      <c r="J24" s="5">
        <v>62</v>
      </c>
      <c r="K24" s="5">
        <v>58</v>
      </c>
      <c r="L24" s="5">
        <v>71</v>
      </c>
      <c r="M24" s="5">
        <v>51</v>
      </c>
      <c r="N24" s="5">
        <v>51</v>
      </c>
      <c r="O24" s="5">
        <v>68</v>
      </c>
      <c r="P24" s="5">
        <v>57</v>
      </c>
      <c r="Q24" s="20">
        <v>53</v>
      </c>
      <c r="R24" s="20">
        <v>56</v>
      </c>
      <c r="S24" s="20">
        <v>52</v>
      </c>
      <c r="T24" s="20">
        <v>59</v>
      </c>
      <c r="U24" s="20">
        <v>61</v>
      </c>
      <c r="V24" s="20"/>
      <c r="W24" s="20"/>
      <c r="X24" s="20"/>
      <c r="Y24" s="20"/>
      <c r="Z24" s="20"/>
      <c r="AA24" s="21">
        <f t="shared" si="0"/>
        <v>55.909090909090907</v>
      </c>
      <c r="AB24" s="21">
        <f t="shared" si="1"/>
        <v>59.051520270270274</v>
      </c>
    </row>
    <row r="25" spans="1:28" x14ac:dyDescent="0.25">
      <c r="A25" s="3">
        <v>23</v>
      </c>
      <c r="B25" s="19" t="s">
        <v>60</v>
      </c>
      <c r="C25" s="5">
        <v>78</v>
      </c>
      <c r="D25" s="16">
        <v>77</v>
      </c>
      <c r="E25" s="5">
        <v>59</v>
      </c>
      <c r="F25" s="5">
        <v>61</v>
      </c>
      <c r="G25" s="5">
        <v>56</v>
      </c>
      <c r="H25" s="17">
        <v>53</v>
      </c>
      <c r="I25" s="5">
        <v>63</v>
      </c>
      <c r="J25" s="5">
        <v>76</v>
      </c>
      <c r="K25" s="5">
        <v>70</v>
      </c>
      <c r="L25" s="5">
        <v>51</v>
      </c>
      <c r="M25" s="5">
        <v>53</v>
      </c>
      <c r="N25" s="5">
        <v>73</v>
      </c>
      <c r="O25" s="5">
        <v>80</v>
      </c>
      <c r="P25" s="5">
        <v>88</v>
      </c>
      <c r="Q25" s="20">
        <v>74</v>
      </c>
      <c r="R25" s="20">
        <v>83</v>
      </c>
      <c r="S25" s="20">
        <v>81</v>
      </c>
      <c r="T25" s="20">
        <v>85</v>
      </c>
      <c r="U25" s="20">
        <v>92</v>
      </c>
      <c r="V25" s="20"/>
      <c r="W25" s="20"/>
      <c r="X25" s="20"/>
      <c r="Y25" s="20"/>
      <c r="Z25" s="20"/>
      <c r="AA25" s="21">
        <f t="shared" si="0"/>
        <v>82.609090909090909</v>
      </c>
      <c r="AB25" s="21">
        <f t="shared" si="1"/>
        <v>72.460304054054049</v>
      </c>
    </row>
    <row r="26" spans="1:28" x14ac:dyDescent="0.25">
      <c r="A26" s="3">
        <v>24</v>
      </c>
      <c r="B26" s="19" t="s">
        <v>61</v>
      </c>
      <c r="C26" s="4">
        <v>91</v>
      </c>
      <c r="D26" s="8">
        <v>82</v>
      </c>
      <c r="E26" s="4">
        <v>51</v>
      </c>
      <c r="F26" s="4">
        <v>57</v>
      </c>
      <c r="G26" s="4">
        <v>55</v>
      </c>
      <c r="H26" s="4">
        <v>77</v>
      </c>
      <c r="I26" s="4">
        <v>71</v>
      </c>
      <c r="J26" s="4">
        <v>51</v>
      </c>
      <c r="K26" s="4">
        <v>60</v>
      </c>
      <c r="L26" s="4">
        <v>67</v>
      </c>
      <c r="M26" s="5">
        <v>59</v>
      </c>
      <c r="N26" s="4">
        <v>61</v>
      </c>
      <c r="O26" s="5">
        <v>77</v>
      </c>
      <c r="P26" s="5">
        <v>62</v>
      </c>
      <c r="Q26" s="20">
        <v>54</v>
      </c>
      <c r="R26" s="20">
        <v>70</v>
      </c>
      <c r="S26" s="20">
        <v>64</v>
      </c>
      <c r="T26" s="20">
        <v>73</v>
      </c>
      <c r="U26" s="20">
        <v>82</v>
      </c>
      <c r="V26" s="20"/>
      <c r="W26" s="20"/>
      <c r="X26" s="20"/>
      <c r="Y26" s="20"/>
      <c r="Z26" s="20"/>
      <c r="AA26" s="21">
        <f t="shared" si="0"/>
        <v>67.88787878787879</v>
      </c>
      <c r="AB26" s="21">
        <f t="shared" si="1"/>
        <v>67.649493243243242</v>
      </c>
    </row>
    <row r="27" spans="1:28" x14ac:dyDescent="0.25">
      <c r="A27" s="3">
        <v>25</v>
      </c>
      <c r="B27" s="19" t="s">
        <v>62</v>
      </c>
      <c r="C27" s="4">
        <v>81</v>
      </c>
      <c r="D27" s="8">
        <v>86</v>
      </c>
      <c r="E27" s="4">
        <v>66</v>
      </c>
      <c r="F27" s="4">
        <v>72</v>
      </c>
      <c r="G27" s="4">
        <v>63</v>
      </c>
      <c r="H27" s="4">
        <v>57</v>
      </c>
      <c r="I27" s="4">
        <v>73</v>
      </c>
      <c r="J27" s="4">
        <v>71</v>
      </c>
      <c r="K27" s="4">
        <v>75</v>
      </c>
      <c r="L27" s="4">
        <v>85</v>
      </c>
      <c r="M27" s="5">
        <v>62</v>
      </c>
      <c r="N27" s="4">
        <v>62</v>
      </c>
      <c r="O27" s="5">
        <v>80</v>
      </c>
      <c r="P27" s="5">
        <v>67</v>
      </c>
      <c r="Q27" s="20">
        <v>71</v>
      </c>
      <c r="R27" s="20">
        <v>73</v>
      </c>
      <c r="S27" s="20">
        <v>71</v>
      </c>
      <c r="T27" s="20">
        <v>77</v>
      </c>
      <c r="U27" s="20">
        <v>91</v>
      </c>
      <c r="V27" s="20"/>
      <c r="W27" s="20"/>
      <c r="X27" s="20"/>
      <c r="Y27" s="20"/>
      <c r="Z27" s="20"/>
      <c r="AA27" s="21">
        <f t="shared" si="0"/>
        <v>76.218181818181819</v>
      </c>
      <c r="AB27" s="21">
        <f t="shared" si="1"/>
        <v>73.451858108108112</v>
      </c>
    </row>
    <row r="28" spans="1:28" x14ac:dyDescent="0.25">
      <c r="A28" s="3">
        <v>26</v>
      </c>
      <c r="B28" s="19" t="s">
        <v>63</v>
      </c>
      <c r="C28" s="4">
        <v>93</v>
      </c>
      <c r="D28" s="8">
        <v>100</v>
      </c>
      <c r="E28" s="4">
        <v>77</v>
      </c>
      <c r="F28" s="4">
        <v>95</v>
      </c>
      <c r="G28" s="4">
        <v>62</v>
      </c>
      <c r="H28" s="4">
        <v>62</v>
      </c>
      <c r="I28" s="4">
        <v>72</v>
      </c>
      <c r="J28" s="4">
        <v>77</v>
      </c>
      <c r="K28" s="4">
        <v>82</v>
      </c>
      <c r="L28" s="4">
        <v>53</v>
      </c>
      <c r="M28" s="5">
        <v>69</v>
      </c>
      <c r="N28" s="4">
        <v>61</v>
      </c>
      <c r="O28" s="5">
        <v>100</v>
      </c>
      <c r="P28" s="5">
        <v>73</v>
      </c>
      <c r="Q28" s="20">
        <v>61</v>
      </c>
      <c r="R28" s="20">
        <v>77</v>
      </c>
      <c r="S28" s="20">
        <v>86</v>
      </c>
      <c r="T28" s="20">
        <v>84</v>
      </c>
      <c r="U28" s="20">
        <v>93</v>
      </c>
      <c r="V28" s="20"/>
      <c r="W28" s="20"/>
      <c r="X28" s="20"/>
      <c r="Y28" s="20"/>
      <c r="Z28" s="20"/>
      <c r="AA28" s="21">
        <f t="shared" si="0"/>
        <v>79.833333333333329</v>
      </c>
      <c r="AB28" s="21">
        <f t="shared" si="1"/>
        <v>78.51013513513513</v>
      </c>
    </row>
    <row r="29" spans="1:28" x14ac:dyDescent="0.25">
      <c r="A29" s="3">
        <v>27</v>
      </c>
      <c r="B29" s="19" t="s">
        <v>64</v>
      </c>
      <c r="C29" s="4">
        <v>85</v>
      </c>
      <c r="D29" s="8">
        <v>81</v>
      </c>
      <c r="E29" s="4">
        <v>82</v>
      </c>
      <c r="F29" s="4">
        <v>71</v>
      </c>
      <c r="G29" s="4">
        <v>71</v>
      </c>
      <c r="H29" s="4">
        <v>61</v>
      </c>
      <c r="I29" s="4">
        <v>81</v>
      </c>
      <c r="J29" s="4">
        <v>71</v>
      </c>
      <c r="K29" s="4">
        <v>85</v>
      </c>
      <c r="L29" s="4">
        <v>76</v>
      </c>
      <c r="M29" s="5">
        <v>71</v>
      </c>
      <c r="N29" s="4">
        <v>64</v>
      </c>
      <c r="O29" s="5">
        <v>90</v>
      </c>
      <c r="P29" s="5">
        <v>82</v>
      </c>
      <c r="Q29" s="20">
        <v>91</v>
      </c>
      <c r="R29" s="20">
        <v>100</v>
      </c>
      <c r="S29" s="20">
        <v>100</v>
      </c>
      <c r="T29" s="20">
        <v>93</v>
      </c>
      <c r="U29" s="20">
        <v>100</v>
      </c>
      <c r="V29" s="20"/>
      <c r="W29" s="20"/>
      <c r="X29" s="20"/>
      <c r="Y29" s="20"/>
      <c r="Z29" s="20"/>
      <c r="AA29" s="21">
        <f t="shared" si="0"/>
        <v>96.715151515151518</v>
      </c>
      <c r="AB29" s="21">
        <f t="shared" si="1"/>
        <v>82.785472972972968</v>
      </c>
    </row>
    <row r="30" spans="1:28" x14ac:dyDescent="0.25">
      <c r="A30" s="3">
        <v>28</v>
      </c>
      <c r="B30" s="23" t="s">
        <v>65</v>
      </c>
      <c r="C30" s="4">
        <v>77</v>
      </c>
      <c r="D30" s="8">
        <v>82</v>
      </c>
      <c r="E30" s="4">
        <v>74</v>
      </c>
      <c r="F30" s="4">
        <v>84</v>
      </c>
      <c r="G30" s="4">
        <v>71</v>
      </c>
      <c r="H30" s="4">
        <v>78</v>
      </c>
      <c r="I30" s="4">
        <v>81</v>
      </c>
      <c r="J30" s="4">
        <v>73</v>
      </c>
      <c r="K30" s="4">
        <v>86</v>
      </c>
      <c r="L30" s="4">
        <v>65</v>
      </c>
      <c r="M30" s="5">
        <v>72</v>
      </c>
      <c r="N30" s="4">
        <v>55</v>
      </c>
      <c r="O30" s="5">
        <v>91</v>
      </c>
      <c r="P30" s="5">
        <v>83</v>
      </c>
      <c r="Q30" s="20">
        <v>76</v>
      </c>
      <c r="R30" s="20">
        <v>92</v>
      </c>
      <c r="S30" s="20">
        <v>71</v>
      </c>
      <c r="T30" s="20">
        <v>85</v>
      </c>
      <c r="U30" s="20">
        <v>92</v>
      </c>
      <c r="V30" s="20"/>
      <c r="W30" s="20"/>
      <c r="X30" s="20"/>
      <c r="Y30" s="20"/>
      <c r="Z30" s="20"/>
      <c r="AA30" s="21">
        <f t="shared" si="0"/>
        <v>82.330303030303028</v>
      </c>
      <c r="AB30" s="21">
        <f t="shared" si="1"/>
        <v>78.827702702702709</v>
      </c>
    </row>
    <row r="31" spans="1:28" x14ac:dyDescent="0.25">
      <c r="A31" s="3">
        <v>29</v>
      </c>
      <c r="B31" s="23" t="s">
        <v>66</v>
      </c>
      <c r="C31" s="4">
        <v>96</v>
      </c>
      <c r="D31" s="8">
        <v>84</v>
      </c>
      <c r="E31" s="4">
        <v>72</v>
      </c>
      <c r="F31" s="4">
        <v>72</v>
      </c>
      <c r="G31" s="4">
        <v>67</v>
      </c>
      <c r="H31" s="4">
        <v>73</v>
      </c>
      <c r="I31" s="4">
        <v>83</v>
      </c>
      <c r="J31" s="4">
        <v>74</v>
      </c>
      <c r="K31" s="4">
        <v>84</v>
      </c>
      <c r="L31" s="4">
        <v>64</v>
      </c>
      <c r="M31" s="5">
        <v>68</v>
      </c>
      <c r="N31" s="4">
        <v>61</v>
      </c>
      <c r="O31" s="5">
        <v>76</v>
      </c>
      <c r="P31" s="5">
        <v>52</v>
      </c>
      <c r="Q31" s="20">
        <v>79</v>
      </c>
      <c r="R31" s="20">
        <v>82</v>
      </c>
      <c r="S31" s="20">
        <v>69</v>
      </c>
      <c r="T31" s="20">
        <v>73</v>
      </c>
      <c r="U31" s="20">
        <v>81</v>
      </c>
      <c r="V31" s="20"/>
      <c r="W31" s="20"/>
      <c r="X31" s="20"/>
      <c r="Y31" s="20"/>
      <c r="Z31" s="20"/>
      <c r="AA31" s="21">
        <f t="shared" si="0"/>
        <v>76.490909090909085</v>
      </c>
      <c r="AB31" s="21">
        <f t="shared" si="1"/>
        <v>74.722128378378372</v>
      </c>
    </row>
    <row r="32" spans="1:28" x14ac:dyDescent="0.25">
      <c r="A32" s="3">
        <v>30</v>
      </c>
      <c r="B32" s="23" t="s">
        <v>67</v>
      </c>
      <c r="C32" s="4">
        <v>51</v>
      </c>
      <c r="D32" s="8">
        <v>97</v>
      </c>
      <c r="E32" s="4">
        <v>61</v>
      </c>
      <c r="F32" s="4">
        <v>99</v>
      </c>
      <c r="G32" s="4">
        <v>65</v>
      </c>
      <c r="H32" s="4">
        <v>73</v>
      </c>
      <c r="I32" s="4">
        <v>84</v>
      </c>
      <c r="J32" s="4">
        <v>87</v>
      </c>
      <c r="K32" s="4">
        <v>89</v>
      </c>
      <c r="L32" s="4">
        <v>75</v>
      </c>
      <c r="M32" s="5">
        <v>88</v>
      </c>
      <c r="N32" s="4">
        <v>71</v>
      </c>
      <c r="O32" s="5">
        <v>93</v>
      </c>
      <c r="P32" s="5">
        <v>77</v>
      </c>
      <c r="Q32" s="20">
        <v>58</v>
      </c>
      <c r="R32" s="20">
        <v>62</v>
      </c>
      <c r="S32" s="20">
        <v>91</v>
      </c>
      <c r="T32" s="20">
        <v>95</v>
      </c>
      <c r="U32" s="20">
        <v>92</v>
      </c>
      <c r="V32" s="20"/>
      <c r="W32" s="20"/>
      <c r="X32" s="20"/>
      <c r="Y32" s="20"/>
      <c r="Z32" s="20"/>
      <c r="AA32" s="21">
        <f t="shared" si="0"/>
        <v>79.530303030303031</v>
      </c>
      <c r="AB32" s="21">
        <f t="shared" si="1"/>
        <v>78.598817567567565</v>
      </c>
    </row>
    <row r="33" spans="1:28" ht="30" x14ac:dyDescent="0.25">
      <c r="A33" s="3">
        <v>31</v>
      </c>
      <c r="B33" s="23" t="s">
        <v>68</v>
      </c>
      <c r="C33" s="4">
        <v>96</v>
      </c>
      <c r="D33" s="16">
        <v>81</v>
      </c>
      <c r="E33" s="4">
        <v>57</v>
      </c>
      <c r="F33" s="4">
        <v>61</v>
      </c>
      <c r="G33" s="4">
        <v>52</v>
      </c>
      <c r="H33" s="24">
        <v>52</v>
      </c>
      <c r="I33" s="4">
        <v>91</v>
      </c>
      <c r="J33" s="4">
        <v>74</v>
      </c>
      <c r="K33" s="4">
        <v>84</v>
      </c>
      <c r="L33" s="4">
        <v>64</v>
      </c>
      <c r="M33" s="5">
        <v>51</v>
      </c>
      <c r="N33" s="4">
        <v>75</v>
      </c>
      <c r="O33" s="5">
        <v>85</v>
      </c>
      <c r="P33" s="5">
        <v>52</v>
      </c>
      <c r="Q33" s="20">
        <v>54</v>
      </c>
      <c r="R33" s="20">
        <v>51</v>
      </c>
      <c r="S33" s="20">
        <v>70</v>
      </c>
      <c r="T33" s="20">
        <v>77</v>
      </c>
      <c r="U33" s="20">
        <v>77</v>
      </c>
      <c r="V33" s="20"/>
      <c r="W33" s="20"/>
      <c r="X33" s="20"/>
      <c r="Y33" s="20"/>
      <c r="Z33" s="20"/>
      <c r="AA33" s="21">
        <f t="shared" si="0"/>
        <v>65.730303030303034</v>
      </c>
      <c r="AB33" s="21">
        <f t="shared" si="1"/>
        <v>69.586993243243242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4"/>
  <sheetViews>
    <sheetView zoomScale="43" zoomScaleNormal="43" workbookViewId="0">
      <selection activeCell="C1" sqref="C1"/>
    </sheetView>
  </sheetViews>
  <sheetFormatPr defaultRowHeight="15" x14ac:dyDescent="0.25"/>
  <cols>
    <col min="2" max="2" width="43.42578125" customWidth="1"/>
  </cols>
  <sheetData>
    <row r="1" spans="1:40" ht="280.5" thickBot="1" x14ac:dyDescent="0.3">
      <c r="A1" s="3"/>
      <c r="B1" s="25" t="s">
        <v>368</v>
      </c>
      <c r="C1" s="9" t="s">
        <v>0</v>
      </c>
      <c r="D1" s="10" t="s">
        <v>318</v>
      </c>
      <c r="E1" s="10" t="s">
        <v>526</v>
      </c>
      <c r="F1" s="10" t="s">
        <v>525</v>
      </c>
      <c r="G1" s="10" t="s">
        <v>524</v>
      </c>
      <c r="H1" s="10" t="s">
        <v>398</v>
      </c>
      <c r="I1" s="38" t="s">
        <v>523</v>
      </c>
      <c r="J1" s="9" t="s">
        <v>323</v>
      </c>
      <c r="K1" s="10" t="s">
        <v>324</v>
      </c>
      <c r="L1" s="10" t="s">
        <v>325</v>
      </c>
      <c r="M1" s="10" t="s">
        <v>522</v>
      </c>
      <c r="N1" s="10" t="s">
        <v>401</v>
      </c>
      <c r="O1" s="10" t="s">
        <v>329</v>
      </c>
      <c r="P1" s="38" t="s">
        <v>403</v>
      </c>
      <c r="Q1" s="9" t="s">
        <v>521</v>
      </c>
      <c r="R1" s="10" t="s">
        <v>520</v>
      </c>
      <c r="S1" s="10" t="s">
        <v>419</v>
      </c>
      <c r="T1" s="10" t="s">
        <v>519</v>
      </c>
      <c r="U1" s="38" t="s">
        <v>369</v>
      </c>
      <c r="V1" s="9" t="s">
        <v>518</v>
      </c>
      <c r="W1" s="10" t="s">
        <v>517</v>
      </c>
      <c r="X1" s="10" t="s">
        <v>502</v>
      </c>
      <c r="Y1" s="10" t="s">
        <v>516</v>
      </c>
      <c r="Z1" s="10" t="s">
        <v>417</v>
      </c>
      <c r="AA1" s="10" t="s">
        <v>515</v>
      </c>
      <c r="AB1" s="38" t="s">
        <v>514</v>
      </c>
      <c r="AC1" s="12" t="s">
        <v>513</v>
      </c>
      <c r="AD1" s="13" t="s">
        <v>507</v>
      </c>
      <c r="AE1" s="13" t="s">
        <v>500</v>
      </c>
      <c r="AF1" s="13" t="s">
        <v>418</v>
      </c>
      <c r="AG1" s="13" t="s">
        <v>420</v>
      </c>
      <c r="AH1" s="39" t="s">
        <v>512</v>
      </c>
      <c r="AI1" s="40" t="s">
        <v>416</v>
      </c>
      <c r="AJ1" s="40" t="s">
        <v>501</v>
      </c>
      <c r="AK1" s="40" t="s">
        <v>503</v>
      </c>
      <c r="AL1" s="41" t="s">
        <v>511</v>
      </c>
      <c r="AM1" s="42" t="s">
        <v>370</v>
      </c>
      <c r="AN1" s="43" t="s">
        <v>331</v>
      </c>
    </row>
    <row r="2" spans="1:40" ht="15.75" thickBot="1" x14ac:dyDescent="0.3">
      <c r="A2" s="3"/>
      <c r="B2" s="44" t="s">
        <v>332</v>
      </c>
      <c r="C2" s="33">
        <v>2</v>
      </c>
      <c r="D2" s="34">
        <v>4</v>
      </c>
      <c r="E2" s="34">
        <v>6</v>
      </c>
      <c r="F2" s="34">
        <v>6</v>
      </c>
      <c r="G2" s="34">
        <v>5</v>
      </c>
      <c r="H2" s="34">
        <v>5</v>
      </c>
      <c r="I2" s="36">
        <v>5</v>
      </c>
      <c r="J2" s="33">
        <v>5</v>
      </c>
      <c r="K2" s="34">
        <v>6</v>
      </c>
      <c r="L2" s="34">
        <v>5</v>
      </c>
      <c r="M2" s="34">
        <v>6</v>
      </c>
      <c r="N2" s="34">
        <v>5</v>
      </c>
      <c r="O2" s="34">
        <v>2</v>
      </c>
      <c r="P2" s="36">
        <v>5</v>
      </c>
      <c r="Q2" s="33">
        <v>5</v>
      </c>
      <c r="R2" s="34">
        <v>5</v>
      </c>
      <c r="S2" s="34">
        <v>7</v>
      </c>
      <c r="T2" s="34">
        <v>6</v>
      </c>
      <c r="U2" s="36">
        <v>7</v>
      </c>
      <c r="V2" s="33">
        <v>6</v>
      </c>
      <c r="W2" s="34">
        <v>5</v>
      </c>
      <c r="X2" s="34">
        <v>4</v>
      </c>
      <c r="Y2" s="34">
        <v>6</v>
      </c>
      <c r="Z2" s="34">
        <v>4</v>
      </c>
      <c r="AA2" s="34">
        <v>5</v>
      </c>
      <c r="AB2" s="36">
        <v>7</v>
      </c>
      <c r="AC2" s="33">
        <v>6</v>
      </c>
      <c r="AD2" s="34">
        <v>6</v>
      </c>
      <c r="AE2" s="34">
        <v>6</v>
      </c>
      <c r="AF2" s="34">
        <v>6</v>
      </c>
      <c r="AG2" s="34">
        <v>6</v>
      </c>
      <c r="AH2" s="33">
        <v>7</v>
      </c>
      <c r="AI2" s="34">
        <v>6</v>
      </c>
      <c r="AJ2" s="34">
        <v>6</v>
      </c>
      <c r="AK2" s="34">
        <v>6</v>
      </c>
      <c r="AL2" s="36">
        <v>4</v>
      </c>
      <c r="AM2" s="45">
        <f>SUM(AH2:AK2)</f>
        <v>25</v>
      </c>
      <c r="AN2" s="46">
        <f>SUM(C2:AK2)</f>
        <v>189</v>
      </c>
    </row>
    <row r="3" spans="1:40" x14ac:dyDescent="0.25">
      <c r="A3" s="3">
        <v>1</v>
      </c>
      <c r="B3" s="47" t="s">
        <v>371</v>
      </c>
      <c r="C3" s="48">
        <v>84</v>
      </c>
      <c r="D3" s="49">
        <v>91</v>
      </c>
      <c r="E3" s="50">
        <v>85</v>
      </c>
      <c r="F3" s="50">
        <v>81</v>
      </c>
      <c r="G3" s="50">
        <v>76</v>
      </c>
      <c r="H3" s="50">
        <v>56</v>
      </c>
      <c r="I3" s="50">
        <v>61</v>
      </c>
      <c r="J3" s="51">
        <v>72</v>
      </c>
      <c r="K3" s="52">
        <v>81</v>
      </c>
      <c r="L3" s="52">
        <v>92</v>
      </c>
      <c r="M3" s="52">
        <v>91</v>
      </c>
      <c r="N3" s="52">
        <v>83</v>
      </c>
      <c r="O3" s="52">
        <v>88</v>
      </c>
      <c r="P3" s="53">
        <v>75</v>
      </c>
      <c r="Q3" s="51">
        <v>89</v>
      </c>
      <c r="R3" s="52">
        <v>91</v>
      </c>
      <c r="S3" s="52">
        <v>91</v>
      </c>
      <c r="T3" s="52">
        <v>83</v>
      </c>
      <c r="U3" s="53">
        <v>93</v>
      </c>
      <c r="V3" s="51">
        <v>94</v>
      </c>
      <c r="W3" s="52">
        <v>100</v>
      </c>
      <c r="X3" s="52">
        <v>91</v>
      </c>
      <c r="Y3" s="52">
        <v>87</v>
      </c>
      <c r="Z3" s="52">
        <v>94</v>
      </c>
      <c r="AA3" s="52">
        <v>94</v>
      </c>
      <c r="AB3" s="53">
        <v>88</v>
      </c>
      <c r="AC3" s="51">
        <v>91</v>
      </c>
      <c r="AD3" s="52">
        <v>97</v>
      </c>
      <c r="AE3" s="52">
        <v>95</v>
      </c>
      <c r="AF3" s="52">
        <v>81</v>
      </c>
      <c r="AG3" s="52">
        <v>98</v>
      </c>
      <c r="AH3" s="54"/>
      <c r="AI3" s="55"/>
      <c r="AJ3" s="55"/>
      <c r="AK3" s="55"/>
      <c r="AL3" s="56"/>
      <c r="AM3" s="57">
        <f>SUMPRODUCT(AC3:AG3,$AC$2:$AG$2)/SUM($AC$2:$AG$2)</f>
        <v>92.4</v>
      </c>
      <c r="AN3" s="57">
        <f>SUMPRODUCT(C3:AG3,$C$2:$AG$2)/SUM($C$2:$AG$2)</f>
        <v>86.469512195121951</v>
      </c>
    </row>
    <row r="4" spans="1:40" x14ac:dyDescent="0.25">
      <c r="A4" s="3">
        <v>2</v>
      </c>
      <c r="B4" s="47" t="s">
        <v>372</v>
      </c>
      <c r="C4" s="58">
        <v>73</v>
      </c>
      <c r="D4" s="49">
        <v>71</v>
      </c>
      <c r="E4" s="50">
        <v>72</v>
      </c>
      <c r="F4" s="50">
        <v>52</v>
      </c>
      <c r="G4" s="50">
        <v>60</v>
      </c>
      <c r="H4" s="50">
        <v>52</v>
      </c>
      <c r="I4" s="50">
        <v>52</v>
      </c>
      <c r="J4" s="54">
        <v>66</v>
      </c>
      <c r="K4" s="50">
        <v>54</v>
      </c>
      <c r="L4" s="50">
        <v>63</v>
      </c>
      <c r="M4" s="50">
        <v>51</v>
      </c>
      <c r="N4" s="50">
        <v>55</v>
      </c>
      <c r="O4" s="50">
        <v>52</v>
      </c>
      <c r="P4" s="56">
        <v>53</v>
      </c>
      <c r="Q4" s="54">
        <v>83</v>
      </c>
      <c r="R4" s="50">
        <v>93</v>
      </c>
      <c r="S4" s="50">
        <v>81</v>
      </c>
      <c r="T4" s="50">
        <v>63</v>
      </c>
      <c r="U4" s="56">
        <v>65</v>
      </c>
      <c r="V4" s="54">
        <v>65</v>
      </c>
      <c r="W4" s="50">
        <v>87</v>
      </c>
      <c r="X4" s="50">
        <v>72</v>
      </c>
      <c r="Y4" s="50">
        <v>57</v>
      </c>
      <c r="Z4" s="50">
        <v>68</v>
      </c>
      <c r="AA4" s="50">
        <v>67</v>
      </c>
      <c r="AB4" s="56">
        <v>59</v>
      </c>
      <c r="AC4" s="54">
        <v>51</v>
      </c>
      <c r="AD4" s="50">
        <v>72</v>
      </c>
      <c r="AE4" s="50">
        <v>69</v>
      </c>
      <c r="AF4" s="50">
        <v>71</v>
      </c>
      <c r="AG4" s="55">
        <v>59</v>
      </c>
      <c r="AH4" s="54"/>
      <c r="AI4" s="55"/>
      <c r="AJ4" s="55"/>
      <c r="AK4" s="55"/>
      <c r="AL4" s="56"/>
      <c r="AM4" s="57">
        <f t="shared" ref="AM4:AM24" si="0">SUMPRODUCT(AC4:AG4,$AC$2:$AG$2)/SUM($AC$2:$AG$2)</f>
        <v>64.400000000000006</v>
      </c>
      <c r="AN4" s="57">
        <f t="shared" ref="AN4:AN24" si="1">SUMPRODUCT(C4:AG4,$C$2:$AG$2)/SUM($C$2:$AG$2)</f>
        <v>64.634146341463421</v>
      </c>
    </row>
    <row r="5" spans="1:40" x14ac:dyDescent="0.25">
      <c r="A5" s="3">
        <v>3</v>
      </c>
      <c r="B5" s="47" t="s">
        <v>373</v>
      </c>
      <c r="C5" s="58">
        <v>92</v>
      </c>
      <c r="D5" s="49">
        <v>94</v>
      </c>
      <c r="E5" s="50">
        <v>93</v>
      </c>
      <c r="F5" s="50">
        <v>81</v>
      </c>
      <c r="G5" s="50">
        <v>87</v>
      </c>
      <c r="H5" s="50">
        <v>71</v>
      </c>
      <c r="I5" s="50">
        <v>73</v>
      </c>
      <c r="J5" s="54">
        <v>80</v>
      </c>
      <c r="K5" s="50">
        <v>79</v>
      </c>
      <c r="L5" s="50">
        <v>85</v>
      </c>
      <c r="M5" s="50">
        <v>91</v>
      </c>
      <c r="N5" s="50">
        <v>81</v>
      </c>
      <c r="O5" s="50">
        <v>77</v>
      </c>
      <c r="P5" s="56">
        <v>76</v>
      </c>
      <c r="Q5" s="54">
        <v>97</v>
      </c>
      <c r="R5" s="50">
        <v>99</v>
      </c>
      <c r="S5" s="50">
        <v>94</v>
      </c>
      <c r="T5" s="50">
        <v>85</v>
      </c>
      <c r="U5" s="56">
        <v>91</v>
      </c>
      <c r="V5" s="54">
        <v>96</v>
      </c>
      <c r="W5" s="50">
        <v>100</v>
      </c>
      <c r="X5" s="50">
        <v>91</v>
      </c>
      <c r="Y5" s="50">
        <v>95</v>
      </c>
      <c r="Z5" s="50">
        <v>100</v>
      </c>
      <c r="AA5" s="50">
        <v>92</v>
      </c>
      <c r="AB5" s="56">
        <v>92</v>
      </c>
      <c r="AC5" s="54">
        <v>96</v>
      </c>
      <c r="AD5" s="50">
        <v>98</v>
      </c>
      <c r="AE5" s="50">
        <v>98</v>
      </c>
      <c r="AF5" s="50">
        <v>95</v>
      </c>
      <c r="AG5" s="55">
        <v>93</v>
      </c>
      <c r="AH5" s="54"/>
      <c r="AI5" s="55"/>
      <c r="AJ5" s="55"/>
      <c r="AK5" s="55"/>
      <c r="AL5" s="56"/>
      <c r="AM5" s="57">
        <f t="shared" si="0"/>
        <v>96</v>
      </c>
      <c r="AN5" s="57">
        <f t="shared" si="1"/>
        <v>89.768292682926827</v>
      </c>
    </row>
    <row r="6" spans="1:40" x14ac:dyDescent="0.25">
      <c r="A6" s="3">
        <v>4</v>
      </c>
      <c r="B6" s="47" t="s">
        <v>374</v>
      </c>
      <c r="C6" s="58">
        <v>91</v>
      </c>
      <c r="D6" s="49">
        <v>85</v>
      </c>
      <c r="E6" s="50">
        <v>73</v>
      </c>
      <c r="F6" s="50">
        <v>85</v>
      </c>
      <c r="G6" s="50">
        <v>70</v>
      </c>
      <c r="H6" s="50">
        <v>56</v>
      </c>
      <c r="I6" s="50">
        <v>55</v>
      </c>
      <c r="J6" s="54">
        <v>56</v>
      </c>
      <c r="K6" s="50">
        <v>61</v>
      </c>
      <c r="L6" s="50">
        <v>81</v>
      </c>
      <c r="M6" s="50">
        <v>88</v>
      </c>
      <c r="N6" s="50">
        <v>58</v>
      </c>
      <c r="O6" s="50">
        <v>92</v>
      </c>
      <c r="P6" s="56">
        <v>67</v>
      </c>
      <c r="Q6" s="54">
        <v>100</v>
      </c>
      <c r="R6" s="50">
        <v>94</v>
      </c>
      <c r="S6" s="50">
        <v>84</v>
      </c>
      <c r="T6" s="50">
        <v>71</v>
      </c>
      <c r="U6" s="56">
        <v>93</v>
      </c>
      <c r="V6" s="54">
        <v>75</v>
      </c>
      <c r="W6" s="50">
        <v>100</v>
      </c>
      <c r="X6" s="50">
        <v>83</v>
      </c>
      <c r="Y6" s="50">
        <v>84</v>
      </c>
      <c r="Z6" s="50">
        <v>83</v>
      </c>
      <c r="AA6" s="50">
        <v>81</v>
      </c>
      <c r="AB6" s="56">
        <v>89</v>
      </c>
      <c r="AC6" s="54">
        <v>82</v>
      </c>
      <c r="AD6" s="50">
        <v>91</v>
      </c>
      <c r="AE6" s="50">
        <v>86</v>
      </c>
      <c r="AF6" s="50">
        <v>71</v>
      </c>
      <c r="AG6" s="55">
        <v>76</v>
      </c>
      <c r="AH6" s="54"/>
      <c r="AI6" s="55"/>
      <c r="AJ6" s="55"/>
      <c r="AK6" s="55"/>
      <c r="AL6" s="56"/>
      <c r="AM6" s="57">
        <f t="shared" si="0"/>
        <v>81.2</v>
      </c>
      <c r="AN6" s="57">
        <f t="shared" si="1"/>
        <v>79.146341463414629</v>
      </c>
    </row>
    <row r="7" spans="1:40" x14ac:dyDescent="0.25">
      <c r="A7" s="3">
        <v>5</v>
      </c>
      <c r="B7" s="4" t="s">
        <v>375</v>
      </c>
      <c r="C7" s="59">
        <v>85</v>
      </c>
      <c r="D7" s="1">
        <v>53</v>
      </c>
      <c r="E7" s="2">
        <v>54</v>
      </c>
      <c r="F7" s="2">
        <v>61</v>
      </c>
      <c r="G7" s="2">
        <v>60</v>
      </c>
      <c r="H7" s="60">
        <v>52</v>
      </c>
      <c r="I7" s="2">
        <v>51</v>
      </c>
      <c r="J7" s="61">
        <v>57</v>
      </c>
      <c r="K7" s="2">
        <v>55</v>
      </c>
      <c r="L7" s="2">
        <v>81</v>
      </c>
      <c r="M7" s="2">
        <v>61</v>
      </c>
      <c r="N7" s="2">
        <v>52</v>
      </c>
      <c r="O7" s="2">
        <v>52</v>
      </c>
      <c r="P7" s="62">
        <v>55</v>
      </c>
      <c r="Q7" s="61">
        <v>95</v>
      </c>
      <c r="R7" s="2">
        <v>93</v>
      </c>
      <c r="S7" s="2">
        <v>73</v>
      </c>
      <c r="T7" s="2">
        <v>81</v>
      </c>
      <c r="U7" s="62">
        <v>81</v>
      </c>
      <c r="V7" s="61">
        <v>72</v>
      </c>
      <c r="W7" s="2">
        <v>89</v>
      </c>
      <c r="X7" s="2">
        <v>77</v>
      </c>
      <c r="Y7" s="2">
        <v>64</v>
      </c>
      <c r="Z7" s="2">
        <v>74</v>
      </c>
      <c r="AA7" s="2">
        <v>91</v>
      </c>
      <c r="AB7" s="62">
        <v>76</v>
      </c>
      <c r="AC7" s="54">
        <v>82</v>
      </c>
      <c r="AD7" s="50">
        <v>91</v>
      </c>
      <c r="AE7" s="50">
        <v>91</v>
      </c>
      <c r="AF7" s="50">
        <v>71</v>
      </c>
      <c r="AG7" s="55">
        <v>74</v>
      </c>
      <c r="AH7" s="54"/>
      <c r="AI7" s="55"/>
      <c r="AJ7" s="55"/>
      <c r="AK7" s="55"/>
      <c r="AL7" s="56"/>
      <c r="AM7" s="57">
        <f t="shared" si="0"/>
        <v>81.8</v>
      </c>
      <c r="AN7" s="57">
        <f t="shared" si="1"/>
        <v>71.475609756097555</v>
      </c>
    </row>
    <row r="8" spans="1:40" x14ac:dyDescent="0.25">
      <c r="A8" s="3">
        <v>6</v>
      </c>
      <c r="B8" s="4" t="s">
        <v>376</v>
      </c>
      <c r="C8" s="59">
        <v>91</v>
      </c>
      <c r="D8" s="1">
        <v>82</v>
      </c>
      <c r="E8" s="2">
        <v>77</v>
      </c>
      <c r="F8" s="2">
        <v>71</v>
      </c>
      <c r="G8" s="2">
        <v>89</v>
      </c>
      <c r="H8" s="2">
        <v>73</v>
      </c>
      <c r="I8" s="2">
        <v>75</v>
      </c>
      <c r="J8" s="61">
        <v>82</v>
      </c>
      <c r="K8" s="2">
        <v>76</v>
      </c>
      <c r="L8" s="2">
        <v>72</v>
      </c>
      <c r="M8" s="2">
        <v>58</v>
      </c>
      <c r="N8" s="2">
        <v>79</v>
      </c>
      <c r="O8" s="2">
        <v>68</v>
      </c>
      <c r="P8" s="62">
        <v>72</v>
      </c>
      <c r="Q8" s="61">
        <v>99</v>
      </c>
      <c r="R8" s="2">
        <v>85</v>
      </c>
      <c r="S8" s="2">
        <v>76</v>
      </c>
      <c r="T8" s="2">
        <v>67</v>
      </c>
      <c r="U8" s="62">
        <v>77</v>
      </c>
      <c r="V8" s="61">
        <v>94</v>
      </c>
      <c r="W8" s="2">
        <v>99</v>
      </c>
      <c r="X8" s="2">
        <v>71</v>
      </c>
      <c r="Y8" s="2">
        <v>72</v>
      </c>
      <c r="Z8" s="2">
        <v>75</v>
      </c>
      <c r="AA8" s="2">
        <v>93</v>
      </c>
      <c r="AB8" s="62">
        <v>77</v>
      </c>
      <c r="AC8" s="54">
        <v>83</v>
      </c>
      <c r="AD8" s="50">
        <v>91</v>
      </c>
      <c r="AE8" s="50">
        <v>81</v>
      </c>
      <c r="AF8" s="50">
        <v>74</v>
      </c>
      <c r="AG8" s="55">
        <v>86</v>
      </c>
      <c r="AH8" s="54"/>
      <c r="AI8" s="55"/>
      <c r="AJ8" s="55"/>
      <c r="AK8" s="55"/>
      <c r="AL8" s="56"/>
      <c r="AM8" s="57">
        <f t="shared" si="0"/>
        <v>83</v>
      </c>
      <c r="AN8" s="57">
        <f t="shared" si="1"/>
        <v>79.329268292682926</v>
      </c>
    </row>
    <row r="9" spans="1:40" x14ac:dyDescent="0.25">
      <c r="A9" s="3">
        <v>7</v>
      </c>
      <c r="B9" s="4" t="s">
        <v>377</v>
      </c>
      <c r="C9" s="59">
        <v>56</v>
      </c>
      <c r="D9" s="1">
        <v>64</v>
      </c>
      <c r="E9" s="2">
        <v>54</v>
      </c>
      <c r="F9" s="2">
        <v>52</v>
      </c>
      <c r="G9" s="2">
        <v>65</v>
      </c>
      <c r="H9" s="2">
        <v>54</v>
      </c>
      <c r="I9" s="2">
        <v>51</v>
      </c>
      <c r="J9" s="61">
        <v>52</v>
      </c>
      <c r="K9" s="2">
        <v>52</v>
      </c>
      <c r="L9" s="2">
        <v>59</v>
      </c>
      <c r="M9" s="2">
        <v>53</v>
      </c>
      <c r="N9" s="2">
        <v>52</v>
      </c>
      <c r="O9" s="2">
        <v>51</v>
      </c>
      <c r="P9" s="62">
        <v>56</v>
      </c>
      <c r="Q9" s="61">
        <v>66</v>
      </c>
      <c r="R9" s="2">
        <v>87</v>
      </c>
      <c r="S9" s="2">
        <v>71</v>
      </c>
      <c r="T9" s="60">
        <v>74</v>
      </c>
      <c r="U9" s="62">
        <v>71</v>
      </c>
      <c r="V9" s="61">
        <v>71</v>
      </c>
      <c r="W9" s="2">
        <v>74</v>
      </c>
      <c r="X9" s="2">
        <v>84</v>
      </c>
      <c r="Y9" s="2">
        <v>60</v>
      </c>
      <c r="Z9" s="2">
        <v>68</v>
      </c>
      <c r="AA9" s="2">
        <v>76</v>
      </c>
      <c r="AB9" s="62">
        <v>64</v>
      </c>
      <c r="AC9" s="54">
        <v>51</v>
      </c>
      <c r="AD9" s="50">
        <v>75</v>
      </c>
      <c r="AE9" s="50">
        <v>72</v>
      </c>
      <c r="AF9" s="50">
        <v>51</v>
      </c>
      <c r="AG9" s="55">
        <v>64</v>
      </c>
      <c r="AH9" s="54"/>
      <c r="AI9" s="55"/>
      <c r="AJ9" s="55"/>
      <c r="AK9" s="55"/>
      <c r="AL9" s="56"/>
      <c r="AM9" s="57">
        <f t="shared" si="0"/>
        <v>62.6</v>
      </c>
      <c r="AN9" s="57">
        <f t="shared" si="1"/>
        <v>63.134146341463413</v>
      </c>
    </row>
    <row r="10" spans="1:40" x14ac:dyDescent="0.25">
      <c r="A10" s="3">
        <v>8</v>
      </c>
      <c r="B10" s="4" t="s">
        <v>378</v>
      </c>
      <c r="C10" s="59">
        <v>80</v>
      </c>
      <c r="D10" s="1">
        <v>93</v>
      </c>
      <c r="E10" s="2">
        <v>82</v>
      </c>
      <c r="F10" s="2">
        <v>100</v>
      </c>
      <c r="G10" s="2">
        <v>74</v>
      </c>
      <c r="H10" s="2">
        <v>71</v>
      </c>
      <c r="I10" s="2">
        <v>74</v>
      </c>
      <c r="J10" s="61">
        <v>81</v>
      </c>
      <c r="K10" s="2">
        <v>75</v>
      </c>
      <c r="L10" s="2">
        <v>72</v>
      </c>
      <c r="M10" s="2">
        <v>100</v>
      </c>
      <c r="N10" s="2">
        <v>76</v>
      </c>
      <c r="O10" s="2">
        <v>88</v>
      </c>
      <c r="P10" s="62">
        <v>73</v>
      </c>
      <c r="Q10" s="61">
        <v>98</v>
      </c>
      <c r="R10" s="2">
        <v>94</v>
      </c>
      <c r="S10" s="2">
        <v>82</v>
      </c>
      <c r="T10" s="2">
        <v>80</v>
      </c>
      <c r="U10" s="62">
        <v>92</v>
      </c>
      <c r="V10" s="61">
        <v>73</v>
      </c>
      <c r="W10" s="2">
        <v>100</v>
      </c>
      <c r="X10" s="63"/>
      <c r="Y10" s="2">
        <v>73</v>
      </c>
      <c r="Z10" s="2">
        <v>93</v>
      </c>
      <c r="AA10" s="2">
        <v>89</v>
      </c>
      <c r="AB10" s="64">
        <v>64</v>
      </c>
      <c r="AC10" s="54">
        <v>91</v>
      </c>
      <c r="AD10" s="50">
        <v>89</v>
      </c>
      <c r="AE10" s="50">
        <v>91</v>
      </c>
      <c r="AF10" s="50">
        <v>81</v>
      </c>
      <c r="AG10" s="55">
        <v>88</v>
      </c>
      <c r="AH10" s="54"/>
      <c r="AI10" s="55"/>
      <c r="AJ10" s="55"/>
      <c r="AK10" s="55"/>
      <c r="AL10" s="56"/>
      <c r="AM10" s="57">
        <f t="shared" si="0"/>
        <v>88</v>
      </c>
      <c r="AN10" s="57">
        <f t="shared" si="1"/>
        <v>81.670731707317074</v>
      </c>
    </row>
    <row r="11" spans="1:40" x14ac:dyDescent="0.25">
      <c r="A11" s="3">
        <v>9</v>
      </c>
      <c r="B11" s="4" t="s">
        <v>379</v>
      </c>
      <c r="C11" s="59">
        <v>91</v>
      </c>
      <c r="D11" s="1">
        <v>72</v>
      </c>
      <c r="E11" s="2">
        <v>67</v>
      </c>
      <c r="F11" s="2">
        <v>52</v>
      </c>
      <c r="G11" s="2">
        <v>67</v>
      </c>
      <c r="H11" s="2">
        <v>58</v>
      </c>
      <c r="I11" s="2">
        <v>56</v>
      </c>
      <c r="J11" s="61">
        <v>64</v>
      </c>
      <c r="K11" s="2">
        <v>67</v>
      </c>
      <c r="L11" s="2">
        <v>65</v>
      </c>
      <c r="M11" s="2">
        <v>54</v>
      </c>
      <c r="N11" s="2">
        <v>54</v>
      </c>
      <c r="O11" s="2">
        <v>64</v>
      </c>
      <c r="P11" s="62">
        <v>53</v>
      </c>
      <c r="Q11" s="61">
        <v>92</v>
      </c>
      <c r="R11" s="2">
        <v>88</v>
      </c>
      <c r="S11" s="2">
        <v>77</v>
      </c>
      <c r="T11" s="60">
        <v>59</v>
      </c>
      <c r="U11" s="62">
        <v>75</v>
      </c>
      <c r="V11" s="61">
        <v>64</v>
      </c>
      <c r="W11" s="2">
        <v>87</v>
      </c>
      <c r="X11" s="2">
        <v>86</v>
      </c>
      <c r="Y11" s="2">
        <v>71</v>
      </c>
      <c r="Z11" s="2">
        <v>61</v>
      </c>
      <c r="AA11" s="2">
        <v>83</v>
      </c>
      <c r="AB11" s="62">
        <v>71</v>
      </c>
      <c r="AC11" s="54">
        <v>57</v>
      </c>
      <c r="AD11" s="50">
        <v>79</v>
      </c>
      <c r="AE11" s="50">
        <v>76</v>
      </c>
      <c r="AF11" s="50">
        <v>61</v>
      </c>
      <c r="AG11" s="55">
        <v>71</v>
      </c>
      <c r="AH11" s="54"/>
      <c r="AI11" s="55"/>
      <c r="AJ11" s="55"/>
      <c r="AK11" s="55"/>
      <c r="AL11" s="56"/>
      <c r="AM11" s="57">
        <f t="shared" si="0"/>
        <v>68.8</v>
      </c>
      <c r="AN11" s="57">
        <f t="shared" si="1"/>
        <v>68.597560975609753</v>
      </c>
    </row>
    <row r="12" spans="1:40" x14ac:dyDescent="0.25">
      <c r="A12" s="3">
        <v>10</v>
      </c>
      <c r="B12" s="4" t="s">
        <v>380</v>
      </c>
      <c r="C12" s="59">
        <v>93</v>
      </c>
      <c r="D12" s="1">
        <v>75</v>
      </c>
      <c r="E12" s="2">
        <v>76</v>
      </c>
      <c r="F12" s="2">
        <v>62</v>
      </c>
      <c r="G12" s="2">
        <v>69</v>
      </c>
      <c r="H12" s="2">
        <v>61</v>
      </c>
      <c r="I12" s="2">
        <v>57</v>
      </c>
      <c r="J12" s="61">
        <v>78</v>
      </c>
      <c r="K12" s="2">
        <v>74</v>
      </c>
      <c r="L12" s="2">
        <v>72</v>
      </c>
      <c r="M12" s="2">
        <v>87</v>
      </c>
      <c r="N12" s="2">
        <v>75</v>
      </c>
      <c r="O12" s="2">
        <v>86</v>
      </c>
      <c r="P12" s="62">
        <v>76</v>
      </c>
      <c r="Q12" s="61">
        <v>84</v>
      </c>
      <c r="R12" s="2">
        <v>92</v>
      </c>
      <c r="S12" s="2">
        <v>73</v>
      </c>
      <c r="T12" s="2">
        <v>66</v>
      </c>
      <c r="U12" s="62">
        <v>75</v>
      </c>
      <c r="V12" s="61">
        <v>61</v>
      </c>
      <c r="W12" s="2">
        <v>83</v>
      </c>
      <c r="X12" s="2">
        <v>82</v>
      </c>
      <c r="Y12" s="2">
        <v>71</v>
      </c>
      <c r="Z12" s="2">
        <v>86</v>
      </c>
      <c r="AA12" s="2">
        <v>67</v>
      </c>
      <c r="AB12" s="62">
        <v>75</v>
      </c>
      <c r="AC12" s="54">
        <v>81</v>
      </c>
      <c r="AD12" s="50">
        <v>81</v>
      </c>
      <c r="AE12" s="50">
        <v>81</v>
      </c>
      <c r="AF12" s="50">
        <v>72</v>
      </c>
      <c r="AG12" s="55">
        <v>92</v>
      </c>
      <c r="AH12" s="54"/>
      <c r="AI12" s="55"/>
      <c r="AJ12" s="55"/>
      <c r="AK12" s="55"/>
      <c r="AL12" s="56"/>
      <c r="AM12" s="57">
        <f t="shared" si="0"/>
        <v>81.400000000000006</v>
      </c>
      <c r="AN12" s="57">
        <f t="shared" si="1"/>
        <v>75.518292682926827</v>
      </c>
    </row>
    <row r="13" spans="1:40" x14ac:dyDescent="0.25">
      <c r="A13" s="3">
        <v>12</v>
      </c>
      <c r="B13" s="4" t="s">
        <v>381</v>
      </c>
      <c r="C13" s="59">
        <v>92</v>
      </c>
      <c r="D13" s="1">
        <v>82</v>
      </c>
      <c r="E13" s="2">
        <v>83</v>
      </c>
      <c r="F13" s="2">
        <v>76</v>
      </c>
      <c r="G13" s="2">
        <v>82</v>
      </c>
      <c r="H13" s="2">
        <v>65</v>
      </c>
      <c r="I13" s="2">
        <v>77</v>
      </c>
      <c r="J13" s="61">
        <v>82</v>
      </c>
      <c r="K13" s="2">
        <v>81</v>
      </c>
      <c r="L13" s="2">
        <v>72</v>
      </c>
      <c r="M13" s="2">
        <v>78</v>
      </c>
      <c r="N13" s="2">
        <v>83</v>
      </c>
      <c r="O13" s="2">
        <v>91</v>
      </c>
      <c r="P13" s="62">
        <v>72</v>
      </c>
      <c r="Q13" s="61">
        <v>99</v>
      </c>
      <c r="R13" s="2">
        <v>97</v>
      </c>
      <c r="S13" s="2">
        <v>84</v>
      </c>
      <c r="T13" s="2">
        <v>81</v>
      </c>
      <c r="U13" s="62">
        <v>92</v>
      </c>
      <c r="V13" s="61">
        <v>93</v>
      </c>
      <c r="W13" s="2">
        <v>92</v>
      </c>
      <c r="X13" s="2">
        <v>95</v>
      </c>
      <c r="Y13" s="2">
        <v>71</v>
      </c>
      <c r="Z13" s="2">
        <v>98</v>
      </c>
      <c r="AA13" s="2">
        <v>90</v>
      </c>
      <c r="AB13" s="62">
        <v>75</v>
      </c>
      <c r="AC13" s="54">
        <v>84</v>
      </c>
      <c r="AD13" s="50">
        <v>91</v>
      </c>
      <c r="AE13" s="50">
        <v>91</v>
      </c>
      <c r="AF13" s="50">
        <v>76</v>
      </c>
      <c r="AG13" s="55">
        <v>91</v>
      </c>
      <c r="AH13" s="54"/>
      <c r="AI13" s="55"/>
      <c r="AJ13" s="55"/>
      <c r="AK13" s="55"/>
      <c r="AL13" s="56"/>
      <c r="AM13" s="57">
        <f t="shared" si="0"/>
        <v>86.6</v>
      </c>
      <c r="AN13" s="57">
        <f t="shared" si="1"/>
        <v>83.865853658536579</v>
      </c>
    </row>
    <row r="14" spans="1:40" x14ac:dyDescent="0.25">
      <c r="A14" s="3">
        <v>13</v>
      </c>
      <c r="B14" s="4" t="s">
        <v>382</v>
      </c>
      <c r="C14" s="59">
        <v>92</v>
      </c>
      <c r="D14" s="1">
        <v>94</v>
      </c>
      <c r="E14" s="2">
        <v>82</v>
      </c>
      <c r="F14" s="2">
        <v>62</v>
      </c>
      <c r="G14" s="2">
        <v>94</v>
      </c>
      <c r="H14" s="2">
        <v>60</v>
      </c>
      <c r="I14" s="2">
        <v>74</v>
      </c>
      <c r="J14" s="61">
        <v>53</v>
      </c>
      <c r="K14" s="2">
        <v>77</v>
      </c>
      <c r="L14" s="2">
        <v>80</v>
      </c>
      <c r="M14" s="2">
        <v>74</v>
      </c>
      <c r="N14" s="2">
        <v>72</v>
      </c>
      <c r="O14" s="2">
        <v>92</v>
      </c>
      <c r="P14" s="62">
        <v>73</v>
      </c>
      <c r="Q14" s="61">
        <v>100</v>
      </c>
      <c r="R14" s="2">
        <v>91</v>
      </c>
      <c r="S14" s="2">
        <v>91</v>
      </c>
      <c r="T14" s="2">
        <v>64</v>
      </c>
      <c r="U14" s="62">
        <v>98</v>
      </c>
      <c r="V14" s="61">
        <v>61</v>
      </c>
      <c r="W14" s="2">
        <v>100</v>
      </c>
      <c r="X14" s="2">
        <v>82</v>
      </c>
      <c r="Y14" s="2">
        <v>81</v>
      </c>
      <c r="Z14" s="2">
        <v>84</v>
      </c>
      <c r="AA14" s="2">
        <v>96</v>
      </c>
      <c r="AB14" s="62">
        <v>76</v>
      </c>
      <c r="AC14" s="54">
        <v>71</v>
      </c>
      <c r="AD14" s="50">
        <v>91</v>
      </c>
      <c r="AE14" s="50">
        <v>91</v>
      </c>
      <c r="AF14" s="50">
        <v>71</v>
      </c>
      <c r="AG14" s="55">
        <v>80</v>
      </c>
      <c r="AH14" s="54"/>
      <c r="AI14" s="55"/>
      <c r="AJ14" s="55"/>
      <c r="AK14" s="55"/>
      <c r="AL14" s="56"/>
      <c r="AM14" s="57">
        <f t="shared" si="0"/>
        <v>80.8</v>
      </c>
      <c r="AN14" s="57">
        <f t="shared" si="1"/>
        <v>80.231707317073173</v>
      </c>
    </row>
    <row r="15" spans="1:40" x14ac:dyDescent="0.25">
      <c r="A15" s="3">
        <v>14</v>
      </c>
      <c r="B15" s="4" t="s">
        <v>383</v>
      </c>
      <c r="C15" s="59">
        <v>82</v>
      </c>
      <c r="D15" s="1">
        <v>78</v>
      </c>
      <c r="E15" s="2">
        <v>77</v>
      </c>
      <c r="F15" s="2">
        <v>66</v>
      </c>
      <c r="G15" s="2">
        <v>74</v>
      </c>
      <c r="H15" s="2">
        <v>64</v>
      </c>
      <c r="I15" s="2">
        <v>51</v>
      </c>
      <c r="J15" s="61">
        <v>52</v>
      </c>
      <c r="K15" s="2">
        <v>75</v>
      </c>
      <c r="L15" s="2">
        <v>62</v>
      </c>
      <c r="M15" s="2">
        <v>88</v>
      </c>
      <c r="N15" s="2">
        <v>57</v>
      </c>
      <c r="O15" s="2">
        <v>65</v>
      </c>
      <c r="P15" s="62">
        <v>52</v>
      </c>
      <c r="Q15" s="61">
        <v>83</v>
      </c>
      <c r="R15" s="2">
        <v>87</v>
      </c>
      <c r="S15" s="2">
        <v>91</v>
      </c>
      <c r="T15" s="2">
        <v>65</v>
      </c>
      <c r="U15" s="62">
        <v>58</v>
      </c>
      <c r="V15" s="61">
        <v>54</v>
      </c>
      <c r="W15" s="2">
        <v>86</v>
      </c>
      <c r="X15" s="2">
        <v>54</v>
      </c>
      <c r="Y15" s="2">
        <v>71</v>
      </c>
      <c r="Z15" s="2">
        <v>55</v>
      </c>
      <c r="AA15" s="2">
        <v>76</v>
      </c>
      <c r="AB15" s="62">
        <v>63</v>
      </c>
      <c r="AC15" s="54">
        <v>51</v>
      </c>
      <c r="AD15" s="50">
        <v>94</v>
      </c>
      <c r="AE15" s="50">
        <v>84</v>
      </c>
      <c r="AF15" s="50">
        <v>71</v>
      </c>
      <c r="AG15" s="55">
        <v>92</v>
      </c>
      <c r="AH15" s="54"/>
      <c r="AI15" s="55"/>
      <c r="AJ15" s="55"/>
      <c r="AK15" s="55"/>
      <c r="AL15" s="56"/>
      <c r="AM15" s="57">
        <f t="shared" si="0"/>
        <v>78.400000000000006</v>
      </c>
      <c r="AN15" s="57">
        <f t="shared" si="1"/>
        <v>70.573170731707322</v>
      </c>
    </row>
    <row r="16" spans="1:40" x14ac:dyDescent="0.25">
      <c r="A16" s="3">
        <v>15</v>
      </c>
      <c r="B16" s="4" t="s">
        <v>384</v>
      </c>
      <c r="C16" s="59">
        <v>84</v>
      </c>
      <c r="D16" s="1">
        <v>91</v>
      </c>
      <c r="E16" s="2">
        <v>91</v>
      </c>
      <c r="F16" s="2">
        <v>79</v>
      </c>
      <c r="G16" s="2">
        <v>73</v>
      </c>
      <c r="H16" s="2">
        <v>79</v>
      </c>
      <c r="I16" s="2">
        <v>72</v>
      </c>
      <c r="J16" s="61">
        <v>78</v>
      </c>
      <c r="K16" s="2">
        <v>91</v>
      </c>
      <c r="L16" s="2">
        <v>83</v>
      </c>
      <c r="M16" s="2">
        <v>83</v>
      </c>
      <c r="N16" s="2">
        <v>72</v>
      </c>
      <c r="O16" s="2">
        <v>94</v>
      </c>
      <c r="P16" s="62">
        <v>73</v>
      </c>
      <c r="Q16" s="61">
        <v>95</v>
      </c>
      <c r="R16" s="2">
        <v>94</v>
      </c>
      <c r="S16" s="2">
        <v>85</v>
      </c>
      <c r="T16" s="2">
        <v>84</v>
      </c>
      <c r="U16" s="62">
        <v>91</v>
      </c>
      <c r="V16" s="61">
        <v>62</v>
      </c>
      <c r="W16" s="2">
        <v>99</v>
      </c>
      <c r="X16" s="2">
        <v>82</v>
      </c>
      <c r="Y16" s="2">
        <v>72</v>
      </c>
      <c r="Z16" s="2">
        <v>78</v>
      </c>
      <c r="AA16" s="2">
        <v>79</v>
      </c>
      <c r="AB16" s="62">
        <v>75</v>
      </c>
      <c r="AC16" s="54">
        <v>61</v>
      </c>
      <c r="AD16" s="50">
        <v>88</v>
      </c>
      <c r="AE16" s="50">
        <v>88</v>
      </c>
      <c r="AF16" s="50">
        <v>71</v>
      </c>
      <c r="AG16" s="55">
        <v>72</v>
      </c>
      <c r="AH16" s="54"/>
      <c r="AI16" s="55"/>
      <c r="AJ16" s="55"/>
      <c r="AK16" s="55"/>
      <c r="AL16" s="56"/>
      <c r="AM16" s="57">
        <f t="shared" si="0"/>
        <v>76</v>
      </c>
      <c r="AN16" s="57">
        <f t="shared" si="1"/>
        <v>80.817073170731703</v>
      </c>
    </row>
    <row r="17" spans="1:40" x14ac:dyDescent="0.25">
      <c r="A17" s="3">
        <v>16</v>
      </c>
      <c r="B17" s="4" t="s">
        <v>385</v>
      </c>
      <c r="C17" s="59">
        <v>72</v>
      </c>
      <c r="D17" s="1">
        <v>99</v>
      </c>
      <c r="E17" s="2">
        <v>95</v>
      </c>
      <c r="F17" s="2">
        <v>71</v>
      </c>
      <c r="G17" s="2">
        <v>81</v>
      </c>
      <c r="H17" s="2">
        <v>78</v>
      </c>
      <c r="I17" s="2">
        <v>71</v>
      </c>
      <c r="J17" s="61">
        <v>73</v>
      </c>
      <c r="K17" s="2">
        <v>92</v>
      </c>
      <c r="L17" s="2">
        <v>78</v>
      </c>
      <c r="M17" s="2">
        <v>88</v>
      </c>
      <c r="N17" s="2">
        <v>82</v>
      </c>
      <c r="O17" s="2">
        <v>88</v>
      </c>
      <c r="P17" s="62">
        <v>73</v>
      </c>
      <c r="Q17" s="61">
        <v>80</v>
      </c>
      <c r="R17" s="2">
        <v>88</v>
      </c>
      <c r="S17" s="2">
        <v>91</v>
      </c>
      <c r="T17" s="2">
        <v>64</v>
      </c>
      <c r="U17" s="62">
        <v>71</v>
      </c>
      <c r="V17" s="61">
        <v>87</v>
      </c>
      <c r="W17" s="2">
        <v>83</v>
      </c>
      <c r="X17" s="2">
        <v>72</v>
      </c>
      <c r="Y17" s="2">
        <v>73</v>
      </c>
      <c r="Z17" s="2">
        <v>89</v>
      </c>
      <c r="AA17" s="2">
        <v>91</v>
      </c>
      <c r="AB17" s="62">
        <v>71</v>
      </c>
      <c r="AC17" s="54">
        <v>52</v>
      </c>
      <c r="AD17" s="50">
        <v>85</v>
      </c>
      <c r="AE17" s="50">
        <v>81</v>
      </c>
      <c r="AF17" s="50">
        <v>67</v>
      </c>
      <c r="AG17" s="55">
        <v>91</v>
      </c>
      <c r="AH17" s="54"/>
      <c r="AI17" s="55"/>
      <c r="AJ17" s="55"/>
      <c r="AK17" s="55"/>
      <c r="AL17" s="56"/>
      <c r="AM17" s="57">
        <f t="shared" si="0"/>
        <v>75.2</v>
      </c>
      <c r="AN17" s="57">
        <f t="shared" si="1"/>
        <v>79.615853658536579</v>
      </c>
    </row>
    <row r="18" spans="1:40" x14ac:dyDescent="0.25">
      <c r="A18" s="3">
        <v>17</v>
      </c>
      <c r="B18" s="4" t="s">
        <v>386</v>
      </c>
      <c r="C18" s="59">
        <v>57</v>
      </c>
      <c r="D18" s="1">
        <v>99</v>
      </c>
      <c r="E18" s="2">
        <v>92</v>
      </c>
      <c r="F18" s="2">
        <v>85</v>
      </c>
      <c r="G18" s="2">
        <v>72</v>
      </c>
      <c r="H18" s="2">
        <v>58</v>
      </c>
      <c r="I18" s="2">
        <v>74</v>
      </c>
      <c r="J18" s="61">
        <v>61</v>
      </c>
      <c r="K18" s="2">
        <v>91</v>
      </c>
      <c r="L18" s="2">
        <v>95</v>
      </c>
      <c r="M18" s="2">
        <v>95</v>
      </c>
      <c r="N18" s="2">
        <v>71</v>
      </c>
      <c r="O18" s="2">
        <v>61</v>
      </c>
      <c r="P18" s="62">
        <v>71</v>
      </c>
      <c r="Q18" s="61">
        <v>80</v>
      </c>
      <c r="R18" s="2">
        <v>91</v>
      </c>
      <c r="S18" s="2">
        <v>92</v>
      </c>
      <c r="T18" s="2">
        <v>75</v>
      </c>
      <c r="U18" s="62">
        <v>91</v>
      </c>
      <c r="V18" s="61">
        <v>59</v>
      </c>
      <c r="W18" s="2">
        <v>96</v>
      </c>
      <c r="X18" s="2">
        <v>71</v>
      </c>
      <c r="Y18" s="2">
        <v>96</v>
      </c>
      <c r="Z18" s="2">
        <v>89</v>
      </c>
      <c r="AA18" s="2">
        <v>73</v>
      </c>
      <c r="AB18" s="62">
        <v>93</v>
      </c>
      <c r="AC18" s="54">
        <v>52</v>
      </c>
      <c r="AD18" s="50">
        <v>91</v>
      </c>
      <c r="AE18" s="50">
        <v>88</v>
      </c>
      <c r="AF18" s="50">
        <v>71</v>
      </c>
      <c r="AG18" s="55">
        <v>81</v>
      </c>
      <c r="AH18" s="54"/>
      <c r="AI18" s="55"/>
      <c r="AJ18" s="55"/>
      <c r="AK18" s="55"/>
      <c r="AL18" s="56"/>
      <c r="AM18" s="57">
        <f t="shared" si="0"/>
        <v>76.599999999999994</v>
      </c>
      <c r="AN18" s="57">
        <f t="shared" si="1"/>
        <v>80.91463414634147</v>
      </c>
    </row>
    <row r="19" spans="1:40" x14ac:dyDescent="0.25">
      <c r="A19" s="3">
        <v>18</v>
      </c>
      <c r="B19" s="4" t="s">
        <v>387</v>
      </c>
      <c r="C19" s="59">
        <v>91</v>
      </c>
      <c r="D19" s="1">
        <v>85</v>
      </c>
      <c r="E19" s="2">
        <v>81</v>
      </c>
      <c r="F19" s="2">
        <v>91</v>
      </c>
      <c r="G19" s="2">
        <v>80</v>
      </c>
      <c r="H19" s="2">
        <v>75</v>
      </c>
      <c r="I19" s="2">
        <v>75</v>
      </c>
      <c r="J19" s="61">
        <v>81</v>
      </c>
      <c r="K19" s="2">
        <v>78</v>
      </c>
      <c r="L19" s="2">
        <v>78</v>
      </c>
      <c r="M19" s="2">
        <v>92</v>
      </c>
      <c r="N19" s="2">
        <v>86</v>
      </c>
      <c r="O19" s="2">
        <v>88</v>
      </c>
      <c r="P19" s="62">
        <v>77</v>
      </c>
      <c r="Q19" s="61">
        <v>98</v>
      </c>
      <c r="R19" s="2">
        <v>92</v>
      </c>
      <c r="S19" s="2">
        <v>85</v>
      </c>
      <c r="T19" s="2">
        <v>75</v>
      </c>
      <c r="U19" s="62">
        <v>83</v>
      </c>
      <c r="V19" s="61">
        <v>91</v>
      </c>
      <c r="W19" s="2">
        <v>98</v>
      </c>
      <c r="X19" s="2">
        <v>82</v>
      </c>
      <c r="Y19" s="2">
        <v>72</v>
      </c>
      <c r="Z19" s="2">
        <v>100</v>
      </c>
      <c r="AA19" s="2">
        <v>81</v>
      </c>
      <c r="AB19" s="62">
        <v>82</v>
      </c>
      <c r="AC19" s="54">
        <v>95</v>
      </c>
      <c r="AD19" s="50">
        <v>91</v>
      </c>
      <c r="AE19" s="50">
        <v>91</v>
      </c>
      <c r="AF19" s="50">
        <v>93</v>
      </c>
      <c r="AG19" s="55">
        <v>91</v>
      </c>
      <c r="AH19" s="54"/>
      <c r="AI19" s="55"/>
      <c r="AJ19" s="55"/>
      <c r="AK19" s="55"/>
      <c r="AL19" s="56"/>
      <c r="AM19" s="57">
        <f t="shared" si="0"/>
        <v>92.2</v>
      </c>
      <c r="AN19" s="57">
        <f t="shared" si="1"/>
        <v>85.530487804878049</v>
      </c>
    </row>
    <row r="20" spans="1:40" x14ac:dyDescent="0.25">
      <c r="A20" s="3">
        <v>19</v>
      </c>
      <c r="B20" s="4" t="s">
        <v>388</v>
      </c>
      <c r="C20" s="59">
        <v>91</v>
      </c>
      <c r="D20" s="1">
        <v>77</v>
      </c>
      <c r="E20" s="2">
        <v>86</v>
      </c>
      <c r="F20" s="2">
        <v>92</v>
      </c>
      <c r="G20" s="2">
        <v>85</v>
      </c>
      <c r="H20" s="2">
        <v>58</v>
      </c>
      <c r="I20" s="2">
        <v>64</v>
      </c>
      <c r="J20" s="61">
        <v>81</v>
      </c>
      <c r="K20" s="2">
        <v>84</v>
      </c>
      <c r="L20" s="2">
        <v>75</v>
      </c>
      <c r="M20" s="2">
        <v>88</v>
      </c>
      <c r="N20" s="2">
        <v>68</v>
      </c>
      <c r="O20" s="2">
        <v>95</v>
      </c>
      <c r="P20" s="62">
        <v>71</v>
      </c>
      <c r="Q20" s="61">
        <v>100</v>
      </c>
      <c r="R20" s="2">
        <v>96</v>
      </c>
      <c r="S20" s="2">
        <v>83</v>
      </c>
      <c r="T20" s="2">
        <v>84</v>
      </c>
      <c r="U20" s="62">
        <v>95</v>
      </c>
      <c r="V20" s="61">
        <v>92</v>
      </c>
      <c r="W20" s="2">
        <v>100</v>
      </c>
      <c r="X20" s="2">
        <v>86</v>
      </c>
      <c r="Y20" s="2">
        <v>92</v>
      </c>
      <c r="Z20" s="2">
        <v>96</v>
      </c>
      <c r="AA20" s="2">
        <v>83</v>
      </c>
      <c r="AB20" s="62">
        <v>91</v>
      </c>
      <c r="AC20" s="54">
        <v>72</v>
      </c>
      <c r="AD20" s="50">
        <v>98</v>
      </c>
      <c r="AE20" s="50">
        <v>85</v>
      </c>
      <c r="AF20" s="50">
        <v>73</v>
      </c>
      <c r="AG20" s="55">
        <v>79</v>
      </c>
      <c r="AH20" s="54"/>
      <c r="AI20" s="55"/>
      <c r="AJ20" s="55"/>
      <c r="AK20" s="55"/>
      <c r="AL20" s="56"/>
      <c r="AM20" s="57">
        <f t="shared" si="0"/>
        <v>81.400000000000006</v>
      </c>
      <c r="AN20" s="57">
        <f t="shared" si="1"/>
        <v>84.426829268292678</v>
      </c>
    </row>
    <row r="21" spans="1:40" x14ac:dyDescent="0.25">
      <c r="A21" s="3">
        <v>21</v>
      </c>
      <c r="B21" s="4" t="s">
        <v>389</v>
      </c>
      <c r="C21" s="59">
        <v>99</v>
      </c>
      <c r="D21" s="1">
        <v>91</v>
      </c>
      <c r="E21" s="2">
        <v>95</v>
      </c>
      <c r="F21" s="2">
        <v>100</v>
      </c>
      <c r="G21" s="2">
        <v>94</v>
      </c>
      <c r="H21" s="2">
        <v>91</v>
      </c>
      <c r="I21" s="2">
        <v>91</v>
      </c>
      <c r="J21" s="61">
        <v>95</v>
      </c>
      <c r="K21" s="2">
        <v>94</v>
      </c>
      <c r="L21" s="2">
        <v>91</v>
      </c>
      <c r="M21" s="2">
        <v>98</v>
      </c>
      <c r="N21" s="2">
        <v>93</v>
      </c>
      <c r="O21" s="2">
        <v>94</v>
      </c>
      <c r="P21" s="62">
        <v>91</v>
      </c>
      <c r="Q21" s="61">
        <v>99</v>
      </c>
      <c r="R21" s="2">
        <v>96</v>
      </c>
      <c r="S21" s="2">
        <v>94</v>
      </c>
      <c r="T21" s="2">
        <v>64</v>
      </c>
      <c r="U21" s="62">
        <v>85</v>
      </c>
      <c r="V21" s="61">
        <v>94</v>
      </c>
      <c r="W21" s="2">
        <v>96</v>
      </c>
      <c r="X21" s="2">
        <v>76</v>
      </c>
      <c r="Y21" s="2">
        <v>91</v>
      </c>
      <c r="Z21" s="2">
        <v>96</v>
      </c>
      <c r="AA21" s="2">
        <v>97</v>
      </c>
      <c r="AB21" s="62">
        <v>74</v>
      </c>
      <c r="AC21" s="54">
        <v>84</v>
      </c>
      <c r="AD21" s="50">
        <v>93</v>
      </c>
      <c r="AE21" s="50">
        <v>91</v>
      </c>
      <c r="AF21" s="50">
        <v>74</v>
      </c>
      <c r="AG21" s="55">
        <v>91</v>
      </c>
      <c r="AH21" s="54"/>
      <c r="AI21" s="55"/>
      <c r="AJ21" s="55"/>
      <c r="AK21" s="55"/>
      <c r="AL21" s="56"/>
      <c r="AM21" s="57">
        <f t="shared" si="0"/>
        <v>86.6</v>
      </c>
      <c r="AN21" s="57">
        <f t="shared" si="1"/>
        <v>90.201219512195124</v>
      </c>
    </row>
    <row r="22" spans="1:40" x14ac:dyDescent="0.25">
      <c r="A22" s="3">
        <v>22</v>
      </c>
      <c r="B22" s="4" t="s">
        <v>390</v>
      </c>
      <c r="C22" s="59">
        <v>87</v>
      </c>
      <c r="D22" s="1">
        <v>72</v>
      </c>
      <c r="E22" s="2">
        <v>72</v>
      </c>
      <c r="F22" s="2">
        <v>52</v>
      </c>
      <c r="G22" s="2">
        <v>72</v>
      </c>
      <c r="H22" s="2">
        <v>57</v>
      </c>
      <c r="I22" s="2">
        <v>51</v>
      </c>
      <c r="J22" s="61">
        <v>52</v>
      </c>
      <c r="K22" s="2">
        <v>61</v>
      </c>
      <c r="L22" s="2">
        <v>61</v>
      </c>
      <c r="M22" s="2">
        <v>52</v>
      </c>
      <c r="N22" s="2">
        <v>53</v>
      </c>
      <c r="O22" s="2">
        <v>58</v>
      </c>
      <c r="P22" s="62">
        <v>53</v>
      </c>
      <c r="Q22" s="61">
        <v>87</v>
      </c>
      <c r="R22" s="2">
        <v>94</v>
      </c>
      <c r="S22" s="2">
        <v>64</v>
      </c>
      <c r="T22" s="2">
        <v>73</v>
      </c>
      <c r="U22" s="62">
        <v>58</v>
      </c>
      <c r="V22" s="61">
        <v>58</v>
      </c>
      <c r="W22" s="2">
        <v>85</v>
      </c>
      <c r="X22" s="2">
        <v>82</v>
      </c>
      <c r="Y22" s="2">
        <v>54</v>
      </c>
      <c r="Z22" s="2">
        <v>55</v>
      </c>
      <c r="AA22" s="2">
        <v>68</v>
      </c>
      <c r="AB22" s="62">
        <v>66</v>
      </c>
      <c r="AC22" s="54">
        <v>51</v>
      </c>
      <c r="AD22" s="50">
        <v>71</v>
      </c>
      <c r="AE22" s="50">
        <v>71</v>
      </c>
      <c r="AF22" s="50">
        <v>61</v>
      </c>
      <c r="AG22" s="55">
        <v>62</v>
      </c>
      <c r="AH22" s="54"/>
      <c r="AI22" s="55"/>
      <c r="AJ22" s="55"/>
      <c r="AK22" s="55"/>
      <c r="AL22" s="56"/>
      <c r="AM22" s="57">
        <f t="shared" si="0"/>
        <v>63.2</v>
      </c>
      <c r="AN22" s="57">
        <f t="shared" si="1"/>
        <v>64.237804878048777</v>
      </c>
    </row>
    <row r="23" spans="1:40" x14ac:dyDescent="0.25">
      <c r="A23" s="3">
        <v>23</v>
      </c>
      <c r="B23" s="4" t="s">
        <v>391</v>
      </c>
      <c r="C23" s="59">
        <v>76</v>
      </c>
      <c r="D23" s="1">
        <v>65</v>
      </c>
      <c r="E23" s="2">
        <v>57</v>
      </c>
      <c r="F23" s="2">
        <v>51</v>
      </c>
      <c r="G23" s="2">
        <v>64</v>
      </c>
      <c r="H23" s="2">
        <v>51</v>
      </c>
      <c r="I23" s="2">
        <v>51</v>
      </c>
      <c r="J23" s="61">
        <v>56</v>
      </c>
      <c r="K23" s="2">
        <v>51</v>
      </c>
      <c r="L23" s="2">
        <v>64</v>
      </c>
      <c r="M23" s="2">
        <v>51</v>
      </c>
      <c r="N23" s="2">
        <v>52</v>
      </c>
      <c r="O23" s="2">
        <v>52</v>
      </c>
      <c r="P23" s="62">
        <v>54</v>
      </c>
      <c r="Q23" s="61">
        <v>80</v>
      </c>
      <c r="R23" s="2">
        <v>93</v>
      </c>
      <c r="S23" s="2">
        <v>71</v>
      </c>
      <c r="T23" s="2">
        <v>71</v>
      </c>
      <c r="U23" s="62">
        <v>65</v>
      </c>
      <c r="V23" s="61">
        <v>64</v>
      </c>
      <c r="W23" s="2">
        <v>84</v>
      </c>
      <c r="X23" s="2">
        <v>72</v>
      </c>
      <c r="Y23" s="2">
        <v>54</v>
      </c>
      <c r="Z23" s="2">
        <v>56</v>
      </c>
      <c r="AA23" s="2">
        <v>69</v>
      </c>
      <c r="AB23" s="62">
        <v>61</v>
      </c>
      <c r="AC23" s="54">
        <v>51</v>
      </c>
      <c r="AD23" s="50">
        <v>70</v>
      </c>
      <c r="AE23" s="50">
        <v>71</v>
      </c>
      <c r="AF23" s="50">
        <v>61</v>
      </c>
      <c r="AG23" s="55">
        <v>59</v>
      </c>
      <c r="AH23" s="54"/>
      <c r="AI23" s="55"/>
      <c r="AJ23" s="55"/>
      <c r="AK23" s="55"/>
      <c r="AL23" s="56"/>
      <c r="AM23" s="57">
        <f t="shared" si="0"/>
        <v>62.4</v>
      </c>
      <c r="AN23" s="57">
        <f t="shared" si="1"/>
        <v>62.579268292682926</v>
      </c>
    </row>
    <row r="24" spans="1:40" ht="15.75" thickBot="1" x14ac:dyDescent="0.3">
      <c r="A24" s="3">
        <v>24</v>
      </c>
      <c r="B24" s="4" t="s">
        <v>392</v>
      </c>
      <c r="C24" s="65">
        <v>93</v>
      </c>
      <c r="D24" s="66">
        <v>71</v>
      </c>
      <c r="E24" s="67">
        <v>71</v>
      </c>
      <c r="F24" s="67">
        <v>52</v>
      </c>
      <c r="G24" s="67">
        <v>80</v>
      </c>
      <c r="H24" s="67">
        <v>51</v>
      </c>
      <c r="I24" s="67">
        <v>55</v>
      </c>
      <c r="J24" s="68">
        <v>71</v>
      </c>
      <c r="K24" s="69">
        <v>58</v>
      </c>
      <c r="L24" s="69">
        <v>59</v>
      </c>
      <c r="M24" s="69">
        <v>57</v>
      </c>
      <c r="N24" s="69">
        <v>59</v>
      </c>
      <c r="O24" s="69">
        <v>52</v>
      </c>
      <c r="P24" s="70">
        <v>61</v>
      </c>
      <c r="Q24" s="68">
        <v>91</v>
      </c>
      <c r="R24" s="69">
        <v>93</v>
      </c>
      <c r="S24" s="69">
        <v>81</v>
      </c>
      <c r="T24" s="71">
        <v>80</v>
      </c>
      <c r="U24" s="70">
        <v>81</v>
      </c>
      <c r="V24" s="68">
        <v>83</v>
      </c>
      <c r="W24" s="69">
        <v>85</v>
      </c>
      <c r="X24" s="69">
        <v>85</v>
      </c>
      <c r="Y24" s="69">
        <v>55</v>
      </c>
      <c r="Z24" s="69">
        <v>84</v>
      </c>
      <c r="AA24" s="69">
        <v>90</v>
      </c>
      <c r="AB24" s="70">
        <v>78</v>
      </c>
      <c r="AC24" s="72">
        <v>71</v>
      </c>
      <c r="AD24" s="73">
        <v>88</v>
      </c>
      <c r="AE24" s="73">
        <v>84</v>
      </c>
      <c r="AF24" s="73">
        <v>78</v>
      </c>
      <c r="AG24" s="73">
        <v>91</v>
      </c>
      <c r="AH24" s="72"/>
      <c r="AI24" s="73"/>
      <c r="AJ24" s="73"/>
      <c r="AK24" s="73"/>
      <c r="AL24" s="74"/>
      <c r="AM24" s="57">
        <f t="shared" si="0"/>
        <v>82.4</v>
      </c>
      <c r="AN24" s="57">
        <f t="shared" si="1"/>
        <v>73.859756097560975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4"/>
  <sheetViews>
    <sheetView topLeftCell="A13" zoomScale="76" zoomScaleNormal="76" workbookViewId="0">
      <selection activeCell="F35" sqref="F35"/>
    </sheetView>
  </sheetViews>
  <sheetFormatPr defaultRowHeight="15" x14ac:dyDescent="0.25"/>
  <cols>
    <col min="1" max="1" width="24.42578125" bestFit="1" customWidth="1"/>
  </cols>
  <sheetData>
    <row r="1" spans="1:45" ht="287.25" thickBot="1" x14ac:dyDescent="0.3">
      <c r="A1" s="76" t="s">
        <v>393</v>
      </c>
      <c r="B1" s="77" t="s">
        <v>394</v>
      </c>
      <c r="C1" s="77" t="s">
        <v>318</v>
      </c>
      <c r="D1" s="78" t="s">
        <v>395</v>
      </c>
      <c r="E1" s="78" t="s">
        <v>396</v>
      </c>
      <c r="F1" s="78" t="s">
        <v>397</v>
      </c>
      <c r="G1" s="79" t="s">
        <v>398</v>
      </c>
      <c r="H1" s="80" t="s">
        <v>399</v>
      </c>
      <c r="I1" s="81" t="s">
        <v>400</v>
      </c>
      <c r="J1" s="82" t="s">
        <v>401</v>
      </c>
      <c r="K1" s="82" t="s">
        <v>402</v>
      </c>
      <c r="L1" s="82" t="s">
        <v>403</v>
      </c>
      <c r="M1" s="83" t="s">
        <v>404</v>
      </c>
      <c r="N1" s="84" t="s">
        <v>405</v>
      </c>
      <c r="O1" s="85" t="s">
        <v>406</v>
      </c>
      <c r="P1" s="86" t="s">
        <v>407</v>
      </c>
      <c r="Q1" s="87" t="s">
        <v>408</v>
      </c>
      <c r="R1" s="87" t="s">
        <v>409</v>
      </c>
      <c r="S1" s="87" t="s">
        <v>369</v>
      </c>
      <c r="T1" s="80" t="s">
        <v>410</v>
      </c>
      <c r="U1" s="86" t="s">
        <v>411</v>
      </c>
      <c r="V1" s="87" t="s">
        <v>412</v>
      </c>
      <c r="W1" s="87" t="s">
        <v>413</v>
      </c>
      <c r="X1" s="87" t="s">
        <v>414</v>
      </c>
      <c r="Y1" s="80" t="s">
        <v>415</v>
      </c>
      <c r="Z1" s="86" t="s">
        <v>416</v>
      </c>
      <c r="AA1" s="87" t="s">
        <v>417</v>
      </c>
      <c r="AB1" s="87" t="s">
        <v>418</v>
      </c>
      <c r="AC1" s="87" t="s">
        <v>419</v>
      </c>
      <c r="AD1" s="80" t="s">
        <v>420</v>
      </c>
      <c r="AE1" s="86" t="s">
        <v>500</v>
      </c>
      <c r="AF1" s="87" t="s">
        <v>501</v>
      </c>
      <c r="AG1" s="87" t="s">
        <v>502</v>
      </c>
      <c r="AH1" s="87" t="s">
        <v>503</v>
      </c>
      <c r="AI1" s="87" t="s">
        <v>504</v>
      </c>
      <c r="AJ1" s="80" t="s">
        <v>505</v>
      </c>
      <c r="AK1" s="86" t="s">
        <v>506</v>
      </c>
      <c r="AL1" s="87" t="s">
        <v>507</v>
      </c>
      <c r="AM1" s="87" t="s">
        <v>508</v>
      </c>
      <c r="AN1" s="87" t="s">
        <v>509</v>
      </c>
      <c r="AO1" s="88" t="s">
        <v>510</v>
      </c>
      <c r="AP1" s="89" t="s">
        <v>421</v>
      </c>
      <c r="AQ1" s="90" t="s">
        <v>370</v>
      </c>
      <c r="AR1" s="90" t="s">
        <v>331</v>
      </c>
      <c r="AS1" s="90"/>
    </row>
    <row r="2" spans="1:45" ht="16.5" thickBot="1" x14ac:dyDescent="0.3">
      <c r="A2" s="91" t="s">
        <v>332</v>
      </c>
      <c r="B2" s="92">
        <v>2</v>
      </c>
      <c r="C2" s="92">
        <v>2</v>
      </c>
      <c r="D2" s="92">
        <v>5</v>
      </c>
      <c r="E2" s="92">
        <v>6</v>
      </c>
      <c r="F2" s="92">
        <v>5</v>
      </c>
      <c r="G2" s="92">
        <v>4</v>
      </c>
      <c r="H2" s="92">
        <v>5</v>
      </c>
      <c r="I2" s="93">
        <v>6</v>
      </c>
      <c r="J2" s="94">
        <v>5</v>
      </c>
      <c r="K2" s="94">
        <v>5</v>
      </c>
      <c r="L2" s="94">
        <v>5</v>
      </c>
      <c r="M2" s="94">
        <v>5</v>
      </c>
      <c r="N2" s="94">
        <v>5</v>
      </c>
      <c r="O2" s="95">
        <v>6</v>
      </c>
      <c r="P2" s="96">
        <v>2</v>
      </c>
      <c r="Q2" s="97">
        <v>6</v>
      </c>
      <c r="R2" s="97">
        <v>5</v>
      </c>
      <c r="S2" s="97">
        <v>7</v>
      </c>
      <c r="T2" s="98">
        <v>7</v>
      </c>
      <c r="U2" s="97">
        <v>6</v>
      </c>
      <c r="V2" s="97">
        <v>5</v>
      </c>
      <c r="W2" s="97">
        <v>6</v>
      </c>
      <c r="X2" s="97">
        <v>7</v>
      </c>
      <c r="Y2" s="97">
        <v>6</v>
      </c>
      <c r="Z2" s="96">
        <v>6</v>
      </c>
      <c r="AA2" s="97">
        <v>4</v>
      </c>
      <c r="AB2" s="97">
        <v>6</v>
      </c>
      <c r="AC2" s="97">
        <v>7</v>
      </c>
      <c r="AD2" s="98">
        <v>6</v>
      </c>
      <c r="AE2" s="96">
        <v>6</v>
      </c>
      <c r="AF2" s="97">
        <v>6</v>
      </c>
      <c r="AG2" s="97">
        <v>4</v>
      </c>
      <c r="AH2" s="97">
        <v>6</v>
      </c>
      <c r="AI2" s="97">
        <v>4</v>
      </c>
      <c r="AJ2" s="98">
        <v>7</v>
      </c>
      <c r="AK2" s="97">
        <v>5</v>
      </c>
      <c r="AL2" s="97">
        <v>6</v>
      </c>
      <c r="AM2" s="97">
        <v>7</v>
      </c>
      <c r="AN2" s="97">
        <v>7</v>
      </c>
      <c r="AO2" s="96">
        <v>18</v>
      </c>
      <c r="AP2" s="98">
        <v>12</v>
      </c>
      <c r="AQ2" s="97">
        <f>SUM(AO2:AP2)</f>
        <v>30</v>
      </c>
      <c r="AR2" s="98">
        <f>SUM(B2:AP2)</f>
        <v>240</v>
      </c>
      <c r="AS2" s="99"/>
    </row>
    <row r="3" spans="1:45" ht="15.75" x14ac:dyDescent="0.25">
      <c r="A3" s="3" t="s">
        <v>422</v>
      </c>
      <c r="B3" s="100">
        <v>84</v>
      </c>
      <c r="C3" s="100">
        <v>99</v>
      </c>
      <c r="D3" s="49">
        <v>81</v>
      </c>
      <c r="E3" s="49">
        <v>63</v>
      </c>
      <c r="F3" s="49">
        <v>78</v>
      </c>
      <c r="G3" s="49">
        <v>76</v>
      </c>
      <c r="H3" s="49">
        <v>72</v>
      </c>
      <c r="I3" s="101">
        <v>91</v>
      </c>
      <c r="J3" s="102">
        <v>81</v>
      </c>
      <c r="K3" s="102">
        <v>91</v>
      </c>
      <c r="L3" s="102">
        <v>81</v>
      </c>
      <c r="M3" s="102">
        <v>71</v>
      </c>
      <c r="N3" s="102">
        <v>77</v>
      </c>
      <c r="O3" s="103">
        <v>92</v>
      </c>
      <c r="P3" s="49">
        <v>82</v>
      </c>
      <c r="Q3" s="49">
        <v>63</v>
      </c>
      <c r="R3" s="49">
        <v>71</v>
      </c>
      <c r="S3" s="49">
        <v>82</v>
      </c>
      <c r="T3" s="49">
        <v>86</v>
      </c>
      <c r="U3" s="101">
        <v>85</v>
      </c>
      <c r="V3" s="102">
        <v>75</v>
      </c>
      <c r="W3" s="102">
        <v>85</v>
      </c>
      <c r="X3" s="102">
        <v>94</v>
      </c>
      <c r="Y3" s="103">
        <v>81</v>
      </c>
      <c r="Z3" s="49">
        <v>81</v>
      </c>
      <c r="AA3" s="49">
        <v>91</v>
      </c>
      <c r="AB3" s="49">
        <v>61</v>
      </c>
      <c r="AC3" s="49">
        <v>91</v>
      </c>
      <c r="AD3" s="49">
        <v>91</v>
      </c>
      <c r="AE3" s="101">
        <v>92</v>
      </c>
      <c r="AF3" s="102">
        <v>92</v>
      </c>
      <c r="AG3" s="102">
        <v>93</v>
      </c>
      <c r="AH3" s="102">
        <v>67</v>
      </c>
      <c r="AI3" s="102">
        <v>71</v>
      </c>
      <c r="AJ3" s="102">
        <v>82</v>
      </c>
      <c r="AK3" s="101">
        <v>89</v>
      </c>
      <c r="AL3" s="102">
        <v>94</v>
      </c>
      <c r="AM3" s="102">
        <v>91</v>
      </c>
      <c r="AN3" s="102">
        <v>92</v>
      </c>
      <c r="AO3" s="104"/>
      <c r="AP3" s="105"/>
      <c r="AQ3" s="100">
        <f t="shared" ref="AQ3:AQ28" si="0">SUMPRODUCT(AK3:AN3,$AK$2:$AN$2)/SUM($AK$2:$AN$2)</f>
        <v>91.6</v>
      </c>
      <c r="AR3" s="106">
        <f t="shared" ref="AR3:AR28" si="1">SUMPRODUCT(B3:AN3,$B$2:$AN$2)/SUM($B$2:$AN$2)</f>
        <v>82.585714285714289</v>
      </c>
      <c r="AS3" s="106"/>
    </row>
    <row r="4" spans="1:45" ht="15.75" x14ac:dyDescent="0.25">
      <c r="A4" s="3" t="s">
        <v>425</v>
      </c>
      <c r="B4" s="107">
        <v>71</v>
      </c>
      <c r="C4" s="100">
        <v>59</v>
      </c>
      <c r="D4" s="100">
        <v>85</v>
      </c>
      <c r="E4" s="100">
        <v>67</v>
      </c>
      <c r="F4" s="100">
        <v>78</v>
      </c>
      <c r="G4" s="100">
        <v>74</v>
      </c>
      <c r="H4" s="100">
        <v>66</v>
      </c>
      <c r="I4" s="108">
        <v>61</v>
      </c>
      <c r="J4" s="100">
        <v>62</v>
      </c>
      <c r="K4" s="100">
        <v>79</v>
      </c>
      <c r="L4" s="100">
        <v>61</v>
      </c>
      <c r="M4" s="100">
        <v>61</v>
      </c>
      <c r="N4" s="100">
        <v>69</v>
      </c>
      <c r="O4" s="109">
        <v>86</v>
      </c>
      <c r="P4" s="100">
        <v>52</v>
      </c>
      <c r="Q4" s="100">
        <v>67</v>
      </c>
      <c r="R4" s="100">
        <v>61</v>
      </c>
      <c r="S4" s="100">
        <v>81</v>
      </c>
      <c r="T4" s="100">
        <v>64</v>
      </c>
      <c r="U4" s="108">
        <v>53</v>
      </c>
      <c r="V4" s="100">
        <v>63</v>
      </c>
      <c r="W4" s="100">
        <v>62</v>
      </c>
      <c r="X4" s="100">
        <v>52</v>
      </c>
      <c r="Y4" s="109">
        <v>58</v>
      </c>
      <c r="Z4" s="100">
        <v>51</v>
      </c>
      <c r="AA4" s="100">
        <v>71</v>
      </c>
      <c r="AB4" s="100">
        <v>51</v>
      </c>
      <c r="AC4" s="100">
        <v>71</v>
      </c>
      <c r="AD4" s="100">
        <v>80</v>
      </c>
      <c r="AE4" s="108">
        <v>74</v>
      </c>
      <c r="AF4" s="100">
        <v>72</v>
      </c>
      <c r="AG4" s="100">
        <v>79</v>
      </c>
      <c r="AH4" s="100">
        <v>57</v>
      </c>
      <c r="AI4" s="100">
        <v>55</v>
      </c>
      <c r="AJ4" s="100">
        <v>62</v>
      </c>
      <c r="AK4" s="108">
        <v>91</v>
      </c>
      <c r="AL4" s="100">
        <v>74</v>
      </c>
      <c r="AM4" s="100">
        <v>58</v>
      </c>
      <c r="AN4" s="110">
        <v>61</v>
      </c>
      <c r="AO4" s="108"/>
      <c r="AP4" s="109"/>
      <c r="AQ4" s="100">
        <f t="shared" si="0"/>
        <v>69.28</v>
      </c>
      <c r="AR4" s="106">
        <f t="shared" si="1"/>
        <v>66.576190476190476</v>
      </c>
      <c r="AS4" s="106"/>
    </row>
    <row r="5" spans="1:45" ht="15.75" x14ac:dyDescent="0.25">
      <c r="A5" s="3" t="s">
        <v>428</v>
      </c>
      <c r="B5" s="107">
        <v>76</v>
      </c>
      <c r="C5" s="100">
        <v>83</v>
      </c>
      <c r="D5" s="100">
        <v>72</v>
      </c>
      <c r="E5" s="100">
        <v>87</v>
      </c>
      <c r="F5" s="100">
        <v>82</v>
      </c>
      <c r="G5" s="100">
        <v>91</v>
      </c>
      <c r="H5" s="100">
        <v>73</v>
      </c>
      <c r="I5" s="108">
        <v>87</v>
      </c>
      <c r="J5" s="100">
        <v>95</v>
      </c>
      <c r="K5" s="100">
        <v>96</v>
      </c>
      <c r="L5" s="100">
        <v>72</v>
      </c>
      <c r="M5" s="100">
        <v>81</v>
      </c>
      <c r="N5" s="100">
        <v>78</v>
      </c>
      <c r="O5" s="109">
        <v>86</v>
      </c>
      <c r="P5" s="100">
        <v>91</v>
      </c>
      <c r="Q5" s="100">
        <v>71</v>
      </c>
      <c r="R5" s="100">
        <v>81</v>
      </c>
      <c r="S5" s="100">
        <v>86</v>
      </c>
      <c r="T5" s="100">
        <v>79</v>
      </c>
      <c r="U5" s="108">
        <v>71</v>
      </c>
      <c r="V5" s="100">
        <v>94</v>
      </c>
      <c r="W5" s="100">
        <v>86</v>
      </c>
      <c r="X5" s="100">
        <v>91</v>
      </c>
      <c r="Y5" s="109">
        <v>73</v>
      </c>
      <c r="Z5" s="100">
        <v>71</v>
      </c>
      <c r="AA5" s="100">
        <v>97</v>
      </c>
      <c r="AB5" s="100">
        <v>57</v>
      </c>
      <c r="AC5" s="100">
        <v>81</v>
      </c>
      <c r="AD5" s="100">
        <v>89</v>
      </c>
      <c r="AE5" s="108">
        <v>77</v>
      </c>
      <c r="AF5" s="100">
        <v>76</v>
      </c>
      <c r="AG5" s="100">
        <v>97</v>
      </c>
      <c r="AH5" s="100">
        <v>69</v>
      </c>
      <c r="AI5" s="100">
        <v>61</v>
      </c>
      <c r="AJ5" s="100">
        <v>68</v>
      </c>
      <c r="AK5" s="108">
        <v>91</v>
      </c>
      <c r="AL5" s="100">
        <v>83</v>
      </c>
      <c r="AM5" s="100">
        <v>91</v>
      </c>
      <c r="AN5" s="110">
        <v>84</v>
      </c>
      <c r="AO5" s="108"/>
      <c r="AP5" s="109"/>
      <c r="AQ5" s="100">
        <f t="shared" si="0"/>
        <v>87.12</v>
      </c>
      <c r="AR5" s="106">
        <f t="shared" si="1"/>
        <v>81.033333333333331</v>
      </c>
      <c r="AS5" s="106"/>
    </row>
    <row r="6" spans="1:45" ht="15.75" x14ac:dyDescent="0.25">
      <c r="A6" s="3" t="s">
        <v>431</v>
      </c>
      <c r="B6" s="107">
        <v>91</v>
      </c>
      <c r="C6" s="100">
        <v>88</v>
      </c>
      <c r="D6" s="100">
        <v>85</v>
      </c>
      <c r="E6" s="100">
        <v>88</v>
      </c>
      <c r="F6" s="100">
        <v>100</v>
      </c>
      <c r="G6" s="100">
        <v>90</v>
      </c>
      <c r="H6" s="100">
        <v>74</v>
      </c>
      <c r="I6" s="108">
        <v>89</v>
      </c>
      <c r="J6" s="100">
        <v>91</v>
      </c>
      <c r="K6" s="100">
        <v>88</v>
      </c>
      <c r="L6" s="100">
        <v>71</v>
      </c>
      <c r="M6" s="100">
        <v>86</v>
      </c>
      <c r="N6" s="100">
        <v>82</v>
      </c>
      <c r="O6" s="109">
        <v>94</v>
      </c>
      <c r="P6" s="100">
        <v>81</v>
      </c>
      <c r="Q6" s="100">
        <v>68</v>
      </c>
      <c r="R6" s="100">
        <v>83</v>
      </c>
      <c r="S6" s="100">
        <v>83</v>
      </c>
      <c r="T6" s="100">
        <v>87</v>
      </c>
      <c r="U6" s="108">
        <v>92</v>
      </c>
      <c r="V6" s="100">
        <v>99</v>
      </c>
      <c r="W6" s="100">
        <v>96</v>
      </c>
      <c r="X6" s="100">
        <v>100</v>
      </c>
      <c r="Y6" s="109">
        <v>92</v>
      </c>
      <c r="Z6" s="100">
        <v>91</v>
      </c>
      <c r="AA6" s="100">
        <v>100</v>
      </c>
      <c r="AB6" s="100">
        <v>84</v>
      </c>
      <c r="AC6" s="100">
        <v>82</v>
      </c>
      <c r="AD6" s="100">
        <v>92</v>
      </c>
      <c r="AE6" s="108">
        <v>94</v>
      </c>
      <c r="AF6" s="100">
        <v>88</v>
      </c>
      <c r="AG6" s="100">
        <v>97</v>
      </c>
      <c r="AH6" s="100">
        <v>70</v>
      </c>
      <c r="AI6" s="100">
        <v>84</v>
      </c>
      <c r="AJ6" s="100">
        <v>79</v>
      </c>
      <c r="AK6" s="108">
        <v>94</v>
      </c>
      <c r="AL6" s="100">
        <v>91</v>
      </c>
      <c r="AM6" s="100">
        <v>91</v>
      </c>
      <c r="AN6" s="110">
        <v>91</v>
      </c>
      <c r="AO6" s="108"/>
      <c r="AP6" s="109"/>
      <c r="AQ6" s="100">
        <f t="shared" si="0"/>
        <v>91.6</v>
      </c>
      <c r="AR6" s="106">
        <f t="shared" si="1"/>
        <v>87.780952380952385</v>
      </c>
      <c r="AS6" s="106"/>
    </row>
    <row r="7" spans="1:45" ht="15.75" x14ac:dyDescent="0.25">
      <c r="A7" s="3" t="s">
        <v>434</v>
      </c>
      <c r="B7" s="107">
        <v>66</v>
      </c>
      <c r="C7" s="100">
        <v>70</v>
      </c>
      <c r="D7" s="100">
        <v>65</v>
      </c>
      <c r="E7" s="100">
        <v>57</v>
      </c>
      <c r="F7" s="100">
        <v>76</v>
      </c>
      <c r="G7" s="100">
        <v>63</v>
      </c>
      <c r="H7" s="100">
        <v>65</v>
      </c>
      <c r="I7" s="108">
        <v>87</v>
      </c>
      <c r="J7" s="106">
        <v>73</v>
      </c>
      <c r="K7" s="100">
        <v>85</v>
      </c>
      <c r="L7" s="100">
        <v>71</v>
      </c>
      <c r="M7" s="100">
        <v>58</v>
      </c>
      <c r="N7" s="100">
        <v>62</v>
      </c>
      <c r="O7" s="109">
        <v>76</v>
      </c>
      <c r="P7" s="100">
        <v>62</v>
      </c>
      <c r="Q7" s="100">
        <v>51</v>
      </c>
      <c r="R7" s="100">
        <v>57</v>
      </c>
      <c r="S7" s="100">
        <v>85</v>
      </c>
      <c r="T7" s="100">
        <v>66</v>
      </c>
      <c r="U7" s="108">
        <v>66</v>
      </c>
      <c r="V7" s="100">
        <v>65</v>
      </c>
      <c r="W7" s="100">
        <v>58</v>
      </c>
      <c r="X7" s="100">
        <v>85</v>
      </c>
      <c r="Y7" s="109">
        <v>79</v>
      </c>
      <c r="Z7" s="100">
        <v>61</v>
      </c>
      <c r="AA7" s="100">
        <v>71</v>
      </c>
      <c r="AB7" s="100">
        <v>58</v>
      </c>
      <c r="AC7" s="100">
        <v>62</v>
      </c>
      <c r="AD7" s="100">
        <v>77</v>
      </c>
      <c r="AE7" s="108">
        <v>75</v>
      </c>
      <c r="AF7" s="100">
        <v>74</v>
      </c>
      <c r="AG7" s="100">
        <v>81</v>
      </c>
      <c r="AH7" s="100">
        <v>61</v>
      </c>
      <c r="AI7" s="100">
        <v>52</v>
      </c>
      <c r="AJ7" s="100">
        <v>69</v>
      </c>
      <c r="AK7" s="108">
        <v>66</v>
      </c>
      <c r="AL7" s="100">
        <v>86</v>
      </c>
      <c r="AM7" s="100">
        <v>74</v>
      </c>
      <c r="AN7" s="110">
        <v>88</v>
      </c>
      <c r="AO7" s="108"/>
      <c r="AP7" s="109"/>
      <c r="AQ7" s="100">
        <f t="shared" si="0"/>
        <v>79.2</v>
      </c>
      <c r="AR7" s="106">
        <f t="shared" si="1"/>
        <v>69.895238095238099</v>
      </c>
      <c r="AS7" s="106"/>
    </row>
    <row r="8" spans="1:45" ht="15.75" x14ac:dyDescent="0.25">
      <c r="A8" s="57" t="s">
        <v>437</v>
      </c>
      <c r="B8" s="100">
        <v>81</v>
      </c>
      <c r="C8" s="100">
        <v>94</v>
      </c>
      <c r="D8" s="100">
        <v>74</v>
      </c>
      <c r="E8" s="100">
        <v>74</v>
      </c>
      <c r="F8" s="100">
        <v>100</v>
      </c>
      <c r="G8" s="100">
        <v>86</v>
      </c>
      <c r="H8" s="100">
        <v>72</v>
      </c>
      <c r="I8" s="108">
        <v>92</v>
      </c>
      <c r="J8" s="100">
        <v>92</v>
      </c>
      <c r="K8" s="100">
        <v>91</v>
      </c>
      <c r="L8" s="100">
        <v>91</v>
      </c>
      <c r="M8" s="100">
        <v>81</v>
      </c>
      <c r="N8" s="100">
        <v>75</v>
      </c>
      <c r="O8" s="109">
        <v>86</v>
      </c>
      <c r="P8" s="100">
        <v>71</v>
      </c>
      <c r="Q8" s="100">
        <v>61</v>
      </c>
      <c r="R8" s="100">
        <v>71</v>
      </c>
      <c r="S8" s="100">
        <v>79</v>
      </c>
      <c r="T8" s="100">
        <v>77</v>
      </c>
      <c r="U8" s="108">
        <v>81</v>
      </c>
      <c r="V8" s="100">
        <v>88</v>
      </c>
      <c r="W8" s="100">
        <v>83</v>
      </c>
      <c r="X8" s="100">
        <v>91</v>
      </c>
      <c r="Y8" s="109">
        <v>73</v>
      </c>
      <c r="Z8" s="100">
        <v>81</v>
      </c>
      <c r="AA8" s="100">
        <v>98</v>
      </c>
      <c r="AB8" s="100">
        <v>72</v>
      </c>
      <c r="AC8" s="100">
        <v>81</v>
      </c>
      <c r="AD8" s="100">
        <v>91</v>
      </c>
      <c r="AE8" s="108">
        <v>85</v>
      </c>
      <c r="AF8" s="100">
        <v>91</v>
      </c>
      <c r="AG8" s="100">
        <v>74</v>
      </c>
      <c r="AH8" s="100">
        <v>57</v>
      </c>
      <c r="AI8" s="100">
        <v>61</v>
      </c>
      <c r="AJ8" s="100">
        <v>51</v>
      </c>
      <c r="AK8" s="108">
        <v>75</v>
      </c>
      <c r="AL8" s="100">
        <v>73</v>
      </c>
      <c r="AM8" s="100">
        <v>70</v>
      </c>
      <c r="AN8" s="110">
        <v>74</v>
      </c>
      <c r="AO8" s="108"/>
      <c r="AP8" s="109"/>
      <c r="AQ8" s="100">
        <f t="shared" si="0"/>
        <v>72.84</v>
      </c>
      <c r="AR8" s="106">
        <f t="shared" si="1"/>
        <v>78.947619047619042</v>
      </c>
      <c r="AS8" s="106"/>
    </row>
    <row r="9" spans="1:45" ht="15.75" x14ac:dyDescent="0.25">
      <c r="A9" s="57" t="s">
        <v>440</v>
      </c>
      <c r="B9" s="100">
        <v>76</v>
      </c>
      <c r="C9" s="100">
        <v>78</v>
      </c>
      <c r="D9" s="100">
        <v>90</v>
      </c>
      <c r="E9" s="100">
        <v>92</v>
      </c>
      <c r="F9" s="100">
        <v>83</v>
      </c>
      <c r="G9" s="100">
        <v>77</v>
      </c>
      <c r="H9" s="100">
        <v>73</v>
      </c>
      <c r="I9" s="108">
        <v>82</v>
      </c>
      <c r="J9" s="100">
        <v>86</v>
      </c>
      <c r="K9" s="100">
        <v>82</v>
      </c>
      <c r="L9" s="100">
        <v>71</v>
      </c>
      <c r="M9" s="100">
        <v>75</v>
      </c>
      <c r="N9" s="100">
        <v>81</v>
      </c>
      <c r="O9" s="109">
        <v>94</v>
      </c>
      <c r="P9" s="100">
        <v>61</v>
      </c>
      <c r="Q9" s="100">
        <v>65</v>
      </c>
      <c r="R9" s="100">
        <v>63</v>
      </c>
      <c r="S9" s="100">
        <v>76</v>
      </c>
      <c r="T9" s="100">
        <v>64</v>
      </c>
      <c r="U9" s="108">
        <v>71</v>
      </c>
      <c r="V9" s="100">
        <v>71</v>
      </c>
      <c r="W9" s="100">
        <v>80</v>
      </c>
      <c r="X9" s="100">
        <v>98</v>
      </c>
      <c r="Y9" s="109">
        <v>74</v>
      </c>
      <c r="Z9" s="100">
        <v>74</v>
      </c>
      <c r="AA9" s="100">
        <v>97</v>
      </c>
      <c r="AB9" s="100">
        <v>52</v>
      </c>
      <c r="AC9" s="100">
        <v>91</v>
      </c>
      <c r="AD9" s="100">
        <v>82</v>
      </c>
      <c r="AE9" s="108">
        <v>73</v>
      </c>
      <c r="AF9" s="100">
        <v>82</v>
      </c>
      <c r="AG9" s="100">
        <v>78</v>
      </c>
      <c r="AH9" s="100">
        <v>68</v>
      </c>
      <c r="AI9" s="100">
        <v>71</v>
      </c>
      <c r="AJ9" s="100">
        <v>65</v>
      </c>
      <c r="AK9" s="108">
        <v>92</v>
      </c>
      <c r="AL9" s="100">
        <v>91</v>
      </c>
      <c r="AM9" s="100">
        <v>91</v>
      </c>
      <c r="AN9" s="110">
        <v>89</v>
      </c>
      <c r="AO9" s="108"/>
      <c r="AP9" s="109"/>
      <c r="AQ9" s="100">
        <f t="shared" si="0"/>
        <v>90.64</v>
      </c>
      <c r="AR9" s="106">
        <f t="shared" si="1"/>
        <v>78.833333333333329</v>
      </c>
      <c r="AS9" s="106"/>
    </row>
    <row r="10" spans="1:45" ht="15.75" x14ac:dyDescent="0.25">
      <c r="A10" s="3" t="s">
        <v>443</v>
      </c>
      <c r="B10" s="107">
        <v>71</v>
      </c>
      <c r="C10" s="107">
        <v>60</v>
      </c>
      <c r="D10" s="107">
        <v>55</v>
      </c>
      <c r="E10" s="107">
        <v>94</v>
      </c>
      <c r="F10" s="107">
        <v>89</v>
      </c>
      <c r="G10" s="107">
        <v>76</v>
      </c>
      <c r="H10" s="107">
        <v>71</v>
      </c>
      <c r="I10" s="112">
        <v>79</v>
      </c>
      <c r="J10" s="107">
        <v>57</v>
      </c>
      <c r="K10" s="107">
        <v>83</v>
      </c>
      <c r="L10" s="107">
        <v>58</v>
      </c>
      <c r="M10" s="107">
        <v>67</v>
      </c>
      <c r="N10" s="107">
        <v>63</v>
      </c>
      <c r="O10" s="113">
        <v>56</v>
      </c>
      <c r="P10" s="107">
        <v>67</v>
      </c>
      <c r="Q10" s="114">
        <v>56</v>
      </c>
      <c r="R10" s="107">
        <v>72</v>
      </c>
      <c r="S10" s="107">
        <v>75</v>
      </c>
      <c r="T10" s="107">
        <v>61</v>
      </c>
      <c r="U10" s="112">
        <v>71</v>
      </c>
      <c r="V10" s="107">
        <v>65</v>
      </c>
      <c r="W10" s="100">
        <v>51</v>
      </c>
      <c r="X10" s="100">
        <v>65</v>
      </c>
      <c r="Y10" s="109">
        <v>56</v>
      </c>
      <c r="Z10" s="100">
        <v>51</v>
      </c>
      <c r="AA10" s="100">
        <v>66</v>
      </c>
      <c r="AB10" s="100">
        <v>52</v>
      </c>
      <c r="AC10" s="100">
        <v>71</v>
      </c>
      <c r="AD10" s="100">
        <v>65</v>
      </c>
      <c r="AE10" s="108">
        <v>71</v>
      </c>
      <c r="AF10" s="100">
        <v>74</v>
      </c>
      <c r="AG10" s="100">
        <v>72</v>
      </c>
      <c r="AH10" s="100">
        <v>59</v>
      </c>
      <c r="AI10" s="100">
        <v>51</v>
      </c>
      <c r="AJ10" s="100">
        <v>51</v>
      </c>
      <c r="AK10" s="108">
        <v>74</v>
      </c>
      <c r="AL10" s="100">
        <v>71</v>
      </c>
      <c r="AM10" s="100">
        <v>66</v>
      </c>
      <c r="AN10" s="110">
        <v>68</v>
      </c>
      <c r="AO10" s="108"/>
      <c r="AP10" s="109"/>
      <c r="AQ10" s="100">
        <f t="shared" si="0"/>
        <v>69.36</v>
      </c>
      <c r="AR10" s="106">
        <f t="shared" si="1"/>
        <v>66.004761904761907</v>
      </c>
      <c r="AS10" s="106"/>
    </row>
    <row r="11" spans="1:45" ht="15.75" x14ac:dyDescent="0.25">
      <c r="A11" s="3" t="s">
        <v>446</v>
      </c>
      <c r="B11" s="107">
        <v>91</v>
      </c>
      <c r="C11" s="107">
        <v>64</v>
      </c>
      <c r="D11" s="107">
        <v>56</v>
      </c>
      <c r="E11" s="107">
        <v>57</v>
      </c>
      <c r="F11" s="107">
        <v>93</v>
      </c>
      <c r="G11" s="107">
        <v>82</v>
      </c>
      <c r="H11" s="107">
        <v>75</v>
      </c>
      <c r="I11" s="112">
        <v>77</v>
      </c>
      <c r="J11" s="107">
        <v>85</v>
      </c>
      <c r="K11" s="107">
        <v>83</v>
      </c>
      <c r="L11" s="107">
        <v>72</v>
      </c>
      <c r="M11" s="107">
        <v>71</v>
      </c>
      <c r="N11" s="107">
        <v>79</v>
      </c>
      <c r="O11" s="113">
        <v>71</v>
      </c>
      <c r="P11" s="107">
        <v>63</v>
      </c>
      <c r="Q11" s="107">
        <v>51</v>
      </c>
      <c r="R11" s="107">
        <v>76</v>
      </c>
      <c r="S11" s="107">
        <v>75</v>
      </c>
      <c r="T11" s="107">
        <v>82</v>
      </c>
      <c r="U11" s="112">
        <v>82</v>
      </c>
      <c r="V11" s="107">
        <v>87</v>
      </c>
      <c r="W11" s="100">
        <v>78</v>
      </c>
      <c r="X11" s="100">
        <v>83</v>
      </c>
      <c r="Y11" s="109">
        <v>91</v>
      </c>
      <c r="Z11" s="100">
        <v>64</v>
      </c>
      <c r="AA11" s="100">
        <v>85</v>
      </c>
      <c r="AB11" s="100">
        <v>64</v>
      </c>
      <c r="AC11" s="100">
        <v>81</v>
      </c>
      <c r="AD11" s="100">
        <v>82</v>
      </c>
      <c r="AE11" s="108">
        <v>93</v>
      </c>
      <c r="AF11" s="100">
        <v>87</v>
      </c>
      <c r="AG11" s="100">
        <v>84</v>
      </c>
      <c r="AH11" s="100">
        <v>64</v>
      </c>
      <c r="AI11" s="100">
        <v>73</v>
      </c>
      <c r="AJ11" s="100">
        <v>82</v>
      </c>
      <c r="AK11" s="108">
        <v>94</v>
      </c>
      <c r="AL11" s="100">
        <v>91</v>
      </c>
      <c r="AM11" s="100">
        <v>75</v>
      </c>
      <c r="AN11" s="110">
        <v>72</v>
      </c>
      <c r="AO11" s="108"/>
      <c r="AP11" s="109"/>
      <c r="AQ11" s="100">
        <f t="shared" si="0"/>
        <v>81.8</v>
      </c>
      <c r="AR11" s="106">
        <f t="shared" si="1"/>
        <v>77.376190476190473</v>
      </c>
      <c r="AS11" s="106"/>
    </row>
    <row r="12" spans="1:45" ht="15.75" x14ac:dyDescent="0.25">
      <c r="A12" s="3" t="s">
        <v>449</v>
      </c>
      <c r="B12" s="107">
        <v>83</v>
      </c>
      <c r="C12" s="107">
        <v>66</v>
      </c>
      <c r="D12" s="107">
        <v>52</v>
      </c>
      <c r="E12" s="107">
        <v>57</v>
      </c>
      <c r="F12" s="107">
        <v>79</v>
      </c>
      <c r="G12" s="107">
        <v>73</v>
      </c>
      <c r="H12" s="107">
        <v>68</v>
      </c>
      <c r="I12" s="112">
        <v>85</v>
      </c>
      <c r="J12" s="107">
        <v>65</v>
      </c>
      <c r="K12" s="107">
        <v>87</v>
      </c>
      <c r="L12" s="107">
        <v>68</v>
      </c>
      <c r="M12" s="107">
        <v>62</v>
      </c>
      <c r="N12" s="107">
        <v>62</v>
      </c>
      <c r="O12" s="113">
        <v>56</v>
      </c>
      <c r="P12" s="107">
        <v>67</v>
      </c>
      <c r="Q12" s="107">
        <v>51</v>
      </c>
      <c r="R12" s="107">
        <v>54</v>
      </c>
      <c r="S12" s="107">
        <v>86</v>
      </c>
      <c r="T12" s="107">
        <v>79</v>
      </c>
      <c r="U12" s="112">
        <v>71</v>
      </c>
      <c r="V12" s="107">
        <v>65</v>
      </c>
      <c r="W12" s="100">
        <v>66</v>
      </c>
      <c r="X12" s="100">
        <v>51</v>
      </c>
      <c r="Y12" s="109">
        <v>72</v>
      </c>
      <c r="Z12" s="100">
        <v>55</v>
      </c>
      <c r="AA12" s="100">
        <v>72</v>
      </c>
      <c r="AB12" s="100">
        <v>59</v>
      </c>
      <c r="AC12" s="100">
        <v>74</v>
      </c>
      <c r="AD12" s="100">
        <v>66</v>
      </c>
      <c r="AE12" s="108">
        <v>72</v>
      </c>
      <c r="AF12" s="100">
        <v>74</v>
      </c>
      <c r="AG12" s="100">
        <v>96</v>
      </c>
      <c r="AH12" s="100">
        <v>71</v>
      </c>
      <c r="AI12" s="100">
        <v>61</v>
      </c>
      <c r="AJ12" s="100">
        <v>74</v>
      </c>
      <c r="AK12" s="108">
        <v>77</v>
      </c>
      <c r="AL12" s="100">
        <v>82</v>
      </c>
      <c r="AM12" s="100">
        <v>67</v>
      </c>
      <c r="AN12" s="110">
        <v>51</v>
      </c>
      <c r="AO12" s="108"/>
      <c r="AP12" s="109"/>
      <c r="AQ12" s="100">
        <f t="shared" si="0"/>
        <v>68.12</v>
      </c>
      <c r="AR12" s="106">
        <f t="shared" si="1"/>
        <v>68.242857142857147</v>
      </c>
      <c r="AS12" s="106"/>
    </row>
    <row r="13" spans="1:45" ht="15.75" x14ac:dyDescent="0.25">
      <c r="A13" s="3" t="s">
        <v>452</v>
      </c>
      <c r="B13" s="107">
        <v>77</v>
      </c>
      <c r="C13" s="107">
        <v>71</v>
      </c>
      <c r="D13" s="107">
        <v>61</v>
      </c>
      <c r="E13" s="107">
        <v>72</v>
      </c>
      <c r="F13" s="107">
        <v>87</v>
      </c>
      <c r="G13" s="107">
        <v>60</v>
      </c>
      <c r="H13" s="107">
        <v>65</v>
      </c>
      <c r="I13" s="112">
        <v>83</v>
      </c>
      <c r="J13" s="107">
        <v>78</v>
      </c>
      <c r="K13" s="107">
        <v>91</v>
      </c>
      <c r="L13" s="107">
        <v>73</v>
      </c>
      <c r="M13" s="107">
        <v>61</v>
      </c>
      <c r="N13" s="107">
        <v>71</v>
      </c>
      <c r="O13" s="113">
        <v>71</v>
      </c>
      <c r="P13" s="107">
        <v>72</v>
      </c>
      <c r="Q13" s="107">
        <v>53</v>
      </c>
      <c r="R13" s="107">
        <v>71</v>
      </c>
      <c r="S13" s="107">
        <v>76</v>
      </c>
      <c r="T13" s="107">
        <v>61</v>
      </c>
      <c r="U13" s="112">
        <v>61</v>
      </c>
      <c r="V13" s="107">
        <v>91</v>
      </c>
      <c r="W13" s="100">
        <v>75</v>
      </c>
      <c r="X13" s="100">
        <v>87</v>
      </c>
      <c r="Y13" s="109">
        <v>89</v>
      </c>
      <c r="Z13" s="100">
        <v>84</v>
      </c>
      <c r="AA13" s="100">
        <v>90</v>
      </c>
      <c r="AB13" s="100">
        <v>57</v>
      </c>
      <c r="AC13" s="100">
        <v>81</v>
      </c>
      <c r="AD13" s="100">
        <v>91</v>
      </c>
      <c r="AE13" s="108">
        <v>84</v>
      </c>
      <c r="AF13" s="100">
        <v>91</v>
      </c>
      <c r="AG13" s="100">
        <v>91</v>
      </c>
      <c r="AH13" s="100">
        <v>61</v>
      </c>
      <c r="AI13" s="100">
        <v>52</v>
      </c>
      <c r="AJ13" s="100">
        <v>72</v>
      </c>
      <c r="AK13" s="108">
        <v>87</v>
      </c>
      <c r="AL13" s="100">
        <v>85</v>
      </c>
      <c r="AM13" s="100">
        <v>76</v>
      </c>
      <c r="AN13" s="110">
        <v>72</v>
      </c>
      <c r="AO13" s="108"/>
      <c r="AP13" s="109"/>
      <c r="AQ13" s="100">
        <f t="shared" si="0"/>
        <v>79.239999999999995</v>
      </c>
      <c r="AR13" s="106">
        <f t="shared" si="1"/>
        <v>75.280952380952385</v>
      </c>
      <c r="AS13" s="106"/>
    </row>
    <row r="14" spans="1:45" ht="15.75" x14ac:dyDescent="0.25">
      <c r="A14" s="3" t="s">
        <v>455</v>
      </c>
      <c r="B14" s="107">
        <v>91</v>
      </c>
      <c r="C14" s="107">
        <v>70</v>
      </c>
      <c r="D14" s="107">
        <v>75</v>
      </c>
      <c r="E14" s="107">
        <v>62</v>
      </c>
      <c r="F14" s="107">
        <v>96</v>
      </c>
      <c r="G14" s="107">
        <v>90</v>
      </c>
      <c r="H14" s="107">
        <v>71</v>
      </c>
      <c r="I14" s="112">
        <v>72</v>
      </c>
      <c r="J14" s="107">
        <v>86</v>
      </c>
      <c r="K14" s="107">
        <v>83</v>
      </c>
      <c r="L14" s="107">
        <v>71</v>
      </c>
      <c r="M14" s="107">
        <v>73</v>
      </c>
      <c r="N14" s="107">
        <v>88</v>
      </c>
      <c r="O14" s="113">
        <v>71</v>
      </c>
      <c r="P14" s="107">
        <v>72</v>
      </c>
      <c r="Q14" s="107">
        <v>68</v>
      </c>
      <c r="R14" s="107">
        <v>85</v>
      </c>
      <c r="S14" s="107">
        <v>91</v>
      </c>
      <c r="T14" s="107">
        <v>79</v>
      </c>
      <c r="U14" s="112">
        <v>92</v>
      </c>
      <c r="V14" s="107">
        <v>89</v>
      </c>
      <c r="W14" s="100">
        <v>87</v>
      </c>
      <c r="X14" s="100">
        <v>81</v>
      </c>
      <c r="Y14" s="109">
        <v>91</v>
      </c>
      <c r="Z14" s="100">
        <v>81</v>
      </c>
      <c r="AA14" s="100">
        <v>96</v>
      </c>
      <c r="AB14" s="100">
        <v>72</v>
      </c>
      <c r="AC14" s="100">
        <v>91</v>
      </c>
      <c r="AD14" s="100">
        <v>88</v>
      </c>
      <c r="AE14" s="108">
        <v>88</v>
      </c>
      <c r="AF14" s="100">
        <v>92</v>
      </c>
      <c r="AG14" s="100">
        <v>81</v>
      </c>
      <c r="AH14" s="100">
        <v>67</v>
      </c>
      <c r="AI14" s="100">
        <v>91</v>
      </c>
      <c r="AJ14" s="100">
        <v>80</v>
      </c>
      <c r="AK14" s="108">
        <v>84</v>
      </c>
      <c r="AL14" s="100">
        <v>92</v>
      </c>
      <c r="AM14" s="100">
        <v>86</v>
      </c>
      <c r="AN14" s="110">
        <v>88</v>
      </c>
      <c r="AO14" s="108"/>
      <c r="AP14" s="109"/>
      <c r="AQ14" s="100">
        <f t="shared" si="0"/>
        <v>87.6</v>
      </c>
      <c r="AR14" s="106">
        <f t="shared" si="1"/>
        <v>82.442857142857136</v>
      </c>
      <c r="AS14" s="106"/>
    </row>
    <row r="15" spans="1:45" ht="15.75" x14ac:dyDescent="0.25">
      <c r="A15" s="3" t="s">
        <v>458</v>
      </c>
      <c r="B15" s="107">
        <v>85</v>
      </c>
      <c r="C15" s="107">
        <v>78</v>
      </c>
      <c r="D15" s="107">
        <v>82</v>
      </c>
      <c r="E15" s="107">
        <v>91</v>
      </c>
      <c r="F15" s="107">
        <v>100</v>
      </c>
      <c r="G15" s="107">
        <v>98</v>
      </c>
      <c r="H15" s="107">
        <v>77</v>
      </c>
      <c r="I15" s="112">
        <v>82</v>
      </c>
      <c r="J15" s="107">
        <v>93</v>
      </c>
      <c r="K15" s="107">
        <v>87</v>
      </c>
      <c r="L15" s="107">
        <v>76</v>
      </c>
      <c r="M15" s="107">
        <v>81</v>
      </c>
      <c r="N15" s="107">
        <v>74</v>
      </c>
      <c r="O15" s="113">
        <v>91</v>
      </c>
      <c r="P15" s="107">
        <v>67</v>
      </c>
      <c r="Q15" s="107">
        <v>73</v>
      </c>
      <c r="R15" s="107">
        <v>81</v>
      </c>
      <c r="S15" s="107">
        <v>82</v>
      </c>
      <c r="T15" s="107">
        <v>81</v>
      </c>
      <c r="U15" s="112">
        <v>77</v>
      </c>
      <c r="V15" s="107">
        <v>94</v>
      </c>
      <c r="W15" s="100">
        <v>92</v>
      </c>
      <c r="X15" s="100">
        <v>83</v>
      </c>
      <c r="Y15" s="109">
        <v>75</v>
      </c>
      <c r="Z15" s="100">
        <v>62</v>
      </c>
      <c r="AA15" s="100">
        <v>98</v>
      </c>
      <c r="AB15" s="100">
        <v>65</v>
      </c>
      <c r="AC15" s="100">
        <v>73</v>
      </c>
      <c r="AD15" s="100">
        <v>95</v>
      </c>
      <c r="AE15" s="108">
        <v>84</v>
      </c>
      <c r="AF15" s="100">
        <v>86</v>
      </c>
      <c r="AG15" s="100">
        <v>95</v>
      </c>
      <c r="AH15" s="100">
        <v>76</v>
      </c>
      <c r="AI15" s="100">
        <v>71</v>
      </c>
      <c r="AJ15" s="100">
        <v>73</v>
      </c>
      <c r="AK15" s="108">
        <v>91</v>
      </c>
      <c r="AL15" s="100">
        <v>91</v>
      </c>
      <c r="AM15" s="100">
        <v>97</v>
      </c>
      <c r="AN15" s="110">
        <v>94</v>
      </c>
      <c r="AO15" s="108"/>
      <c r="AP15" s="109"/>
      <c r="AQ15" s="100">
        <f t="shared" si="0"/>
        <v>93.52</v>
      </c>
      <c r="AR15" s="106">
        <f t="shared" si="1"/>
        <v>83.376190476190473</v>
      </c>
      <c r="AS15" s="106"/>
    </row>
    <row r="16" spans="1:45" ht="15.75" x14ac:dyDescent="0.25">
      <c r="A16" s="3" t="s">
        <v>461</v>
      </c>
      <c r="B16" s="107">
        <v>71</v>
      </c>
      <c r="C16" s="107">
        <v>79</v>
      </c>
      <c r="D16" s="107">
        <v>82</v>
      </c>
      <c r="E16" s="107">
        <v>91</v>
      </c>
      <c r="F16" s="107">
        <v>81</v>
      </c>
      <c r="G16" s="107">
        <v>86</v>
      </c>
      <c r="H16" s="107">
        <v>77</v>
      </c>
      <c r="I16" s="112">
        <v>91</v>
      </c>
      <c r="J16" s="107">
        <v>87</v>
      </c>
      <c r="K16" s="107">
        <v>80</v>
      </c>
      <c r="L16" s="107">
        <v>71</v>
      </c>
      <c r="M16" s="107">
        <v>81</v>
      </c>
      <c r="N16" s="107">
        <v>79</v>
      </c>
      <c r="O16" s="113">
        <v>87</v>
      </c>
      <c r="P16" s="107">
        <v>61</v>
      </c>
      <c r="Q16" s="107">
        <v>71</v>
      </c>
      <c r="R16" s="107">
        <v>71</v>
      </c>
      <c r="S16" s="107">
        <v>65</v>
      </c>
      <c r="T16" s="107">
        <v>78</v>
      </c>
      <c r="U16" s="112">
        <v>51</v>
      </c>
      <c r="V16" s="107">
        <v>63</v>
      </c>
      <c r="W16" s="100">
        <v>59</v>
      </c>
      <c r="X16" s="100">
        <v>73</v>
      </c>
      <c r="Y16" s="109">
        <v>68</v>
      </c>
      <c r="Z16" s="100">
        <v>53</v>
      </c>
      <c r="AA16" s="100">
        <v>74</v>
      </c>
      <c r="AB16" s="100">
        <v>62</v>
      </c>
      <c r="AC16" s="100">
        <v>62</v>
      </c>
      <c r="AD16" s="100">
        <v>80</v>
      </c>
      <c r="AE16" s="108">
        <v>68</v>
      </c>
      <c r="AF16" s="100">
        <v>81</v>
      </c>
      <c r="AG16" s="100">
        <v>66</v>
      </c>
      <c r="AH16" s="100">
        <v>57</v>
      </c>
      <c r="AI16" s="100">
        <v>58</v>
      </c>
      <c r="AJ16" s="100">
        <v>55</v>
      </c>
      <c r="AK16" s="108">
        <v>83</v>
      </c>
      <c r="AL16" s="100">
        <v>79</v>
      </c>
      <c r="AM16" s="100">
        <v>57</v>
      </c>
      <c r="AN16" s="110">
        <v>67</v>
      </c>
      <c r="AO16" s="108"/>
      <c r="AP16" s="109"/>
      <c r="AQ16" s="100">
        <f t="shared" si="0"/>
        <v>70.28</v>
      </c>
      <c r="AR16" s="106">
        <f t="shared" si="1"/>
        <v>71.523809523809518</v>
      </c>
      <c r="AS16" s="106"/>
    </row>
    <row r="17" spans="1:45" ht="15.75" x14ac:dyDescent="0.25">
      <c r="A17" s="3" t="s">
        <v>464</v>
      </c>
      <c r="B17" s="107">
        <v>91</v>
      </c>
      <c r="C17" s="107">
        <v>62</v>
      </c>
      <c r="D17" s="107">
        <v>92</v>
      </c>
      <c r="E17" s="107">
        <v>73</v>
      </c>
      <c r="F17" s="107">
        <v>94</v>
      </c>
      <c r="G17" s="107">
        <v>83</v>
      </c>
      <c r="H17" s="107">
        <v>74</v>
      </c>
      <c r="I17" s="112">
        <v>86</v>
      </c>
      <c r="J17" s="107">
        <v>89</v>
      </c>
      <c r="K17" s="107">
        <v>95</v>
      </c>
      <c r="L17" s="107">
        <v>71</v>
      </c>
      <c r="M17" s="107">
        <v>75</v>
      </c>
      <c r="N17" s="107">
        <v>75</v>
      </c>
      <c r="O17" s="113">
        <v>92</v>
      </c>
      <c r="P17" s="107">
        <v>72</v>
      </c>
      <c r="Q17" s="107">
        <v>67</v>
      </c>
      <c r="R17" s="107">
        <v>71</v>
      </c>
      <c r="S17" s="107">
        <v>83</v>
      </c>
      <c r="T17" s="107">
        <v>82</v>
      </c>
      <c r="U17" s="112">
        <v>81</v>
      </c>
      <c r="V17" s="107">
        <v>75</v>
      </c>
      <c r="W17" s="100">
        <v>79</v>
      </c>
      <c r="X17" s="100">
        <v>91</v>
      </c>
      <c r="Y17" s="109">
        <v>86</v>
      </c>
      <c r="Z17" s="100">
        <v>73</v>
      </c>
      <c r="AA17" s="100">
        <v>86</v>
      </c>
      <c r="AB17" s="100">
        <v>61</v>
      </c>
      <c r="AC17" s="100">
        <v>71</v>
      </c>
      <c r="AD17" s="100">
        <v>91</v>
      </c>
      <c r="AE17" s="108">
        <v>76</v>
      </c>
      <c r="AF17" s="100">
        <v>88</v>
      </c>
      <c r="AG17" s="100">
        <v>91</v>
      </c>
      <c r="AH17" s="100">
        <v>64</v>
      </c>
      <c r="AI17" s="100">
        <v>71</v>
      </c>
      <c r="AJ17" s="100">
        <v>72</v>
      </c>
      <c r="AK17" s="108">
        <v>91</v>
      </c>
      <c r="AL17" s="100">
        <v>87</v>
      </c>
      <c r="AM17" s="100">
        <v>86</v>
      </c>
      <c r="AN17" s="110">
        <v>82</v>
      </c>
      <c r="AO17" s="108"/>
      <c r="AP17" s="109"/>
      <c r="AQ17" s="100">
        <f t="shared" si="0"/>
        <v>86.12</v>
      </c>
      <c r="AR17" s="106">
        <f t="shared" si="1"/>
        <v>80.36666666666666</v>
      </c>
      <c r="AS17" s="106"/>
    </row>
    <row r="18" spans="1:45" ht="15.75" x14ac:dyDescent="0.25">
      <c r="A18" s="3" t="s">
        <v>467</v>
      </c>
      <c r="B18" s="107">
        <v>88</v>
      </c>
      <c r="C18" s="107">
        <v>63</v>
      </c>
      <c r="D18" s="107">
        <v>83</v>
      </c>
      <c r="E18" s="107">
        <v>65</v>
      </c>
      <c r="F18" s="107">
        <v>96</v>
      </c>
      <c r="G18" s="107">
        <v>77</v>
      </c>
      <c r="H18" s="107">
        <v>81</v>
      </c>
      <c r="I18" s="112">
        <v>95</v>
      </c>
      <c r="J18" s="107">
        <v>91</v>
      </c>
      <c r="K18" s="107">
        <v>77</v>
      </c>
      <c r="L18" s="107">
        <v>77</v>
      </c>
      <c r="M18" s="107">
        <v>87</v>
      </c>
      <c r="N18" s="107">
        <v>77</v>
      </c>
      <c r="O18" s="113">
        <v>71</v>
      </c>
      <c r="P18" s="112">
        <v>83</v>
      </c>
      <c r="Q18" s="107">
        <v>77</v>
      </c>
      <c r="R18" s="107">
        <v>83</v>
      </c>
      <c r="S18" s="107">
        <v>91</v>
      </c>
      <c r="T18" s="113">
        <v>91</v>
      </c>
      <c r="U18" s="112">
        <v>94</v>
      </c>
      <c r="V18" s="107">
        <v>89</v>
      </c>
      <c r="W18" s="107">
        <v>82</v>
      </c>
      <c r="X18" s="107">
        <v>83</v>
      </c>
      <c r="Y18" s="113">
        <v>82</v>
      </c>
      <c r="Z18" s="107">
        <v>84</v>
      </c>
      <c r="AA18" s="107">
        <v>95</v>
      </c>
      <c r="AB18" s="107">
        <v>75</v>
      </c>
      <c r="AC18" s="107">
        <v>73</v>
      </c>
      <c r="AD18" s="107">
        <v>84</v>
      </c>
      <c r="AE18" s="112">
        <v>88</v>
      </c>
      <c r="AF18" s="107">
        <v>91</v>
      </c>
      <c r="AG18" s="107">
        <v>81</v>
      </c>
      <c r="AH18" s="107">
        <v>88</v>
      </c>
      <c r="AI18" s="107">
        <v>91</v>
      </c>
      <c r="AJ18" s="107">
        <v>87</v>
      </c>
      <c r="AK18" s="108">
        <v>99</v>
      </c>
      <c r="AL18" s="100">
        <v>91</v>
      </c>
      <c r="AM18" s="100">
        <v>94</v>
      </c>
      <c r="AN18" s="110">
        <v>91</v>
      </c>
      <c r="AO18" s="108"/>
      <c r="AP18" s="109"/>
      <c r="AQ18" s="100">
        <f t="shared" si="0"/>
        <v>93.44</v>
      </c>
      <c r="AR18" s="106">
        <f t="shared" si="1"/>
        <v>84.838095238095235</v>
      </c>
      <c r="AS18" s="106"/>
    </row>
    <row r="19" spans="1:45" ht="15.75" x14ac:dyDescent="0.25">
      <c r="A19" s="3" t="s">
        <v>470</v>
      </c>
      <c r="B19" s="100">
        <v>73</v>
      </c>
      <c r="C19" s="100">
        <v>77</v>
      </c>
      <c r="D19" s="100">
        <v>81</v>
      </c>
      <c r="E19" s="100">
        <v>62</v>
      </c>
      <c r="F19" s="100">
        <v>90</v>
      </c>
      <c r="G19" s="100">
        <v>88</v>
      </c>
      <c r="H19" s="100">
        <v>72</v>
      </c>
      <c r="I19" s="108">
        <v>73</v>
      </c>
      <c r="J19" s="100">
        <v>87</v>
      </c>
      <c r="K19" s="100">
        <v>92</v>
      </c>
      <c r="L19" s="100">
        <v>71</v>
      </c>
      <c r="M19" s="100">
        <v>76</v>
      </c>
      <c r="N19" s="100">
        <v>95</v>
      </c>
      <c r="O19" s="109">
        <v>74</v>
      </c>
      <c r="P19" s="108">
        <v>82</v>
      </c>
      <c r="Q19" s="100">
        <v>71</v>
      </c>
      <c r="R19" s="100">
        <v>81</v>
      </c>
      <c r="S19" s="100">
        <v>91</v>
      </c>
      <c r="T19" s="109">
        <v>82</v>
      </c>
      <c r="U19" s="108">
        <v>91</v>
      </c>
      <c r="V19" s="100">
        <v>91</v>
      </c>
      <c r="W19" s="100">
        <v>94</v>
      </c>
      <c r="X19" s="100">
        <v>87</v>
      </c>
      <c r="Y19" s="109">
        <v>91</v>
      </c>
      <c r="Z19" s="100">
        <v>84</v>
      </c>
      <c r="AA19" s="100">
        <v>91</v>
      </c>
      <c r="AB19" s="100">
        <v>74</v>
      </c>
      <c r="AC19" s="100">
        <v>82</v>
      </c>
      <c r="AD19" s="100">
        <v>91</v>
      </c>
      <c r="AE19" s="108">
        <v>92</v>
      </c>
      <c r="AF19" s="100">
        <v>88</v>
      </c>
      <c r="AG19" s="100">
        <v>93</v>
      </c>
      <c r="AH19" s="100">
        <v>71</v>
      </c>
      <c r="AI19" s="100">
        <v>95</v>
      </c>
      <c r="AJ19" s="100">
        <v>76</v>
      </c>
      <c r="AK19" s="108">
        <v>96</v>
      </c>
      <c r="AL19" s="100">
        <v>92</v>
      </c>
      <c r="AM19" s="100">
        <v>92</v>
      </c>
      <c r="AN19" s="110">
        <v>92</v>
      </c>
      <c r="AO19" s="108"/>
      <c r="AP19" s="109"/>
      <c r="AQ19" s="100">
        <f t="shared" si="0"/>
        <v>92.8</v>
      </c>
      <c r="AR19" s="106">
        <f t="shared" si="1"/>
        <v>84.257142857142853</v>
      </c>
      <c r="AS19" s="106"/>
    </row>
    <row r="20" spans="1:45" ht="15.75" x14ac:dyDescent="0.25">
      <c r="A20" s="3" t="s">
        <v>473</v>
      </c>
      <c r="B20" s="100">
        <v>54</v>
      </c>
      <c r="C20" s="100">
        <v>66</v>
      </c>
      <c r="D20" s="100">
        <v>100</v>
      </c>
      <c r="E20" s="100">
        <v>74</v>
      </c>
      <c r="F20" s="100">
        <v>83</v>
      </c>
      <c r="G20" s="100">
        <v>77</v>
      </c>
      <c r="H20" s="100">
        <v>74</v>
      </c>
      <c r="I20" s="108">
        <v>84</v>
      </c>
      <c r="J20" s="100">
        <v>85</v>
      </c>
      <c r="K20" s="100">
        <v>75</v>
      </c>
      <c r="L20" s="100">
        <v>71</v>
      </c>
      <c r="M20" s="100">
        <v>78</v>
      </c>
      <c r="N20" s="100">
        <v>81</v>
      </c>
      <c r="O20" s="109">
        <v>92</v>
      </c>
      <c r="P20" s="108">
        <v>91</v>
      </c>
      <c r="Q20" s="100">
        <v>62</v>
      </c>
      <c r="R20" s="100">
        <v>71</v>
      </c>
      <c r="S20" s="100">
        <v>88</v>
      </c>
      <c r="T20" s="109">
        <v>81</v>
      </c>
      <c r="U20" s="108">
        <v>82</v>
      </c>
      <c r="V20" s="100">
        <v>94</v>
      </c>
      <c r="W20" s="100">
        <v>74</v>
      </c>
      <c r="X20" s="100">
        <v>99</v>
      </c>
      <c r="Y20" s="109">
        <v>85</v>
      </c>
      <c r="Z20" s="100">
        <v>81</v>
      </c>
      <c r="AA20" s="100">
        <v>85</v>
      </c>
      <c r="AB20" s="100">
        <v>63</v>
      </c>
      <c r="AC20" s="100">
        <v>100</v>
      </c>
      <c r="AD20" s="100">
        <v>93</v>
      </c>
      <c r="AE20" s="108">
        <v>93</v>
      </c>
      <c r="AF20" s="100">
        <v>92</v>
      </c>
      <c r="AG20" s="100">
        <v>94</v>
      </c>
      <c r="AH20" s="100">
        <v>60</v>
      </c>
      <c r="AI20" s="100">
        <v>54</v>
      </c>
      <c r="AJ20" s="100">
        <v>73</v>
      </c>
      <c r="AK20" s="108">
        <v>93</v>
      </c>
      <c r="AL20" s="100">
        <v>95</v>
      </c>
      <c r="AM20" s="100">
        <v>86</v>
      </c>
      <c r="AN20" s="110">
        <v>98</v>
      </c>
      <c r="AO20" s="108"/>
      <c r="AP20" s="109"/>
      <c r="AQ20" s="100">
        <f t="shared" si="0"/>
        <v>92.92</v>
      </c>
      <c r="AR20" s="106">
        <f t="shared" si="1"/>
        <v>82.580952380952382</v>
      </c>
      <c r="AS20" s="106"/>
    </row>
    <row r="21" spans="1:45" ht="15.75" x14ac:dyDescent="0.25">
      <c r="A21" s="3" t="s">
        <v>476</v>
      </c>
      <c r="B21" s="100">
        <v>95</v>
      </c>
      <c r="C21" s="100">
        <v>75</v>
      </c>
      <c r="D21" s="100">
        <v>74</v>
      </c>
      <c r="E21" s="100">
        <v>64</v>
      </c>
      <c r="F21" s="100">
        <v>99</v>
      </c>
      <c r="G21" s="100">
        <v>85</v>
      </c>
      <c r="H21" s="100">
        <v>78</v>
      </c>
      <c r="I21" s="108">
        <v>84</v>
      </c>
      <c r="J21" s="100">
        <v>86</v>
      </c>
      <c r="K21" s="100">
        <v>88</v>
      </c>
      <c r="L21" s="100">
        <v>71</v>
      </c>
      <c r="M21" s="100">
        <v>67</v>
      </c>
      <c r="N21" s="100">
        <v>78</v>
      </c>
      <c r="O21" s="109">
        <v>72</v>
      </c>
      <c r="P21" s="108">
        <v>92</v>
      </c>
      <c r="Q21" s="100">
        <v>85</v>
      </c>
      <c r="R21" s="100">
        <v>82</v>
      </c>
      <c r="S21" s="100">
        <v>91</v>
      </c>
      <c r="T21" s="109">
        <v>89</v>
      </c>
      <c r="U21" s="108">
        <v>85</v>
      </c>
      <c r="V21" s="100">
        <v>88</v>
      </c>
      <c r="W21" s="100">
        <v>87</v>
      </c>
      <c r="X21" s="100">
        <v>86</v>
      </c>
      <c r="Y21" s="109">
        <v>92</v>
      </c>
      <c r="Z21" s="100">
        <v>85</v>
      </c>
      <c r="AA21" s="100">
        <v>92</v>
      </c>
      <c r="AB21" s="100">
        <v>61</v>
      </c>
      <c r="AC21" s="100">
        <v>81</v>
      </c>
      <c r="AD21" s="100">
        <v>87</v>
      </c>
      <c r="AE21" s="108">
        <v>88</v>
      </c>
      <c r="AF21" s="100">
        <v>88</v>
      </c>
      <c r="AG21" s="100">
        <v>92</v>
      </c>
      <c r="AH21" s="100">
        <v>69</v>
      </c>
      <c r="AI21" s="100">
        <v>81</v>
      </c>
      <c r="AJ21" s="100">
        <v>87</v>
      </c>
      <c r="AK21" s="108">
        <v>91</v>
      </c>
      <c r="AL21" s="100">
        <v>93</v>
      </c>
      <c r="AM21" s="100">
        <v>76</v>
      </c>
      <c r="AN21" s="110">
        <v>87</v>
      </c>
      <c r="AO21" s="108"/>
      <c r="AP21" s="109"/>
      <c r="AQ21" s="100">
        <f t="shared" si="0"/>
        <v>86.16</v>
      </c>
      <c r="AR21" s="106">
        <f t="shared" si="1"/>
        <v>83.109523809523807</v>
      </c>
      <c r="AS21" s="106"/>
    </row>
    <row r="22" spans="1:45" ht="15.75" x14ac:dyDescent="0.25">
      <c r="A22" s="3" t="s">
        <v>479</v>
      </c>
      <c r="B22" s="100">
        <v>97</v>
      </c>
      <c r="C22" s="100">
        <v>75</v>
      </c>
      <c r="D22" s="100">
        <v>87</v>
      </c>
      <c r="E22" s="100">
        <v>61</v>
      </c>
      <c r="F22" s="100">
        <v>96</v>
      </c>
      <c r="G22" s="100">
        <v>89</v>
      </c>
      <c r="H22" s="100">
        <v>81</v>
      </c>
      <c r="I22" s="108">
        <v>69</v>
      </c>
      <c r="J22" s="100">
        <v>88</v>
      </c>
      <c r="K22" s="100">
        <v>98</v>
      </c>
      <c r="L22" s="100">
        <v>72</v>
      </c>
      <c r="M22" s="100">
        <v>65</v>
      </c>
      <c r="N22" s="100">
        <v>62</v>
      </c>
      <c r="O22" s="109">
        <v>76</v>
      </c>
      <c r="P22" s="108">
        <v>82</v>
      </c>
      <c r="Q22" s="100">
        <v>75</v>
      </c>
      <c r="R22" s="100">
        <v>91</v>
      </c>
      <c r="S22" s="100">
        <v>94</v>
      </c>
      <c r="T22" s="109">
        <v>96</v>
      </c>
      <c r="U22" s="108">
        <v>91</v>
      </c>
      <c r="V22" s="100">
        <v>92</v>
      </c>
      <c r="W22" s="100">
        <v>91</v>
      </c>
      <c r="X22" s="100">
        <v>87</v>
      </c>
      <c r="Y22" s="109">
        <v>83</v>
      </c>
      <c r="Z22" s="100">
        <v>91</v>
      </c>
      <c r="AA22" s="100">
        <v>95</v>
      </c>
      <c r="AB22" s="100">
        <v>51</v>
      </c>
      <c r="AC22" s="100">
        <v>77</v>
      </c>
      <c r="AD22" s="100">
        <v>82</v>
      </c>
      <c r="AE22" s="108">
        <v>87</v>
      </c>
      <c r="AF22" s="100">
        <v>88</v>
      </c>
      <c r="AG22" s="100">
        <v>92</v>
      </c>
      <c r="AH22" s="100">
        <v>64</v>
      </c>
      <c r="AI22" s="100">
        <v>61</v>
      </c>
      <c r="AJ22" s="100">
        <v>75</v>
      </c>
      <c r="AK22" s="108">
        <v>85</v>
      </c>
      <c r="AL22" s="100">
        <v>72</v>
      </c>
      <c r="AM22" s="100">
        <v>74</v>
      </c>
      <c r="AN22" s="110">
        <v>82</v>
      </c>
      <c r="AO22" s="108"/>
      <c r="AP22" s="109"/>
      <c r="AQ22" s="100">
        <f t="shared" si="0"/>
        <v>77.959999999999994</v>
      </c>
      <c r="AR22" s="106">
        <f t="shared" si="1"/>
        <v>81.057142857142864</v>
      </c>
      <c r="AS22" s="106"/>
    </row>
    <row r="23" spans="1:45" ht="16.5" thickBot="1" x14ac:dyDescent="0.3">
      <c r="A23" s="3" t="s">
        <v>482</v>
      </c>
      <c r="B23" s="100">
        <v>71</v>
      </c>
      <c r="C23" s="100">
        <v>84</v>
      </c>
      <c r="D23" s="100">
        <v>81</v>
      </c>
      <c r="E23" s="100">
        <v>78</v>
      </c>
      <c r="F23" s="100">
        <v>84</v>
      </c>
      <c r="G23" s="100">
        <v>79</v>
      </c>
      <c r="H23" s="100">
        <v>73</v>
      </c>
      <c r="I23" s="108">
        <v>91</v>
      </c>
      <c r="J23" s="100">
        <v>84</v>
      </c>
      <c r="K23" s="100">
        <v>87</v>
      </c>
      <c r="L23" s="100">
        <v>73</v>
      </c>
      <c r="M23" s="100">
        <v>91</v>
      </c>
      <c r="N23" s="100">
        <v>82</v>
      </c>
      <c r="O23" s="109">
        <v>86</v>
      </c>
      <c r="P23" s="108">
        <v>62</v>
      </c>
      <c r="Q23" s="100">
        <v>67</v>
      </c>
      <c r="R23" s="100">
        <v>72</v>
      </c>
      <c r="S23" s="100">
        <v>91</v>
      </c>
      <c r="T23" s="109">
        <v>82</v>
      </c>
      <c r="U23" s="108">
        <v>91</v>
      </c>
      <c r="V23" s="100">
        <v>91</v>
      </c>
      <c r="W23" s="100">
        <v>86</v>
      </c>
      <c r="X23" s="100">
        <v>100</v>
      </c>
      <c r="Y23" s="109">
        <v>91</v>
      </c>
      <c r="Z23" s="100">
        <v>62</v>
      </c>
      <c r="AA23" s="100">
        <v>95</v>
      </c>
      <c r="AB23" s="100">
        <v>65</v>
      </c>
      <c r="AC23" s="100">
        <v>96</v>
      </c>
      <c r="AD23" s="100">
        <v>95</v>
      </c>
      <c r="AE23" s="108">
        <v>83</v>
      </c>
      <c r="AF23" s="100">
        <v>83</v>
      </c>
      <c r="AG23" s="100">
        <v>87</v>
      </c>
      <c r="AH23" s="100">
        <v>83</v>
      </c>
      <c r="AI23" s="100">
        <v>71</v>
      </c>
      <c r="AJ23" s="100">
        <v>92</v>
      </c>
      <c r="AK23" s="108">
        <v>87</v>
      </c>
      <c r="AL23" s="100">
        <v>95</v>
      </c>
      <c r="AM23" s="100">
        <v>92</v>
      </c>
      <c r="AN23" s="110">
        <v>86</v>
      </c>
      <c r="AO23" s="108"/>
      <c r="AP23" s="109"/>
      <c r="AQ23" s="100">
        <f t="shared" si="0"/>
        <v>90.04</v>
      </c>
      <c r="AR23" s="106">
        <f t="shared" si="1"/>
        <v>84.266666666666666</v>
      </c>
      <c r="AS23" s="106"/>
    </row>
    <row r="24" spans="1:45" ht="15.75" x14ac:dyDescent="0.25">
      <c r="A24" s="3" t="s">
        <v>485</v>
      </c>
      <c r="B24" s="107">
        <v>85</v>
      </c>
      <c r="C24" s="107">
        <v>88</v>
      </c>
      <c r="D24" s="107">
        <v>96</v>
      </c>
      <c r="E24" s="107">
        <v>82</v>
      </c>
      <c r="F24" s="107">
        <v>93</v>
      </c>
      <c r="G24" s="107">
        <v>84</v>
      </c>
      <c r="H24" s="107">
        <v>88</v>
      </c>
      <c r="I24" s="112">
        <v>78</v>
      </c>
      <c r="J24" s="107">
        <v>87</v>
      </c>
      <c r="K24" s="107">
        <v>93</v>
      </c>
      <c r="L24" s="107">
        <v>73</v>
      </c>
      <c r="M24" s="107">
        <v>75</v>
      </c>
      <c r="N24" s="107">
        <v>71</v>
      </c>
      <c r="O24" s="113">
        <v>84</v>
      </c>
      <c r="P24" s="112">
        <v>72</v>
      </c>
      <c r="Q24" s="107">
        <v>61</v>
      </c>
      <c r="R24" s="107">
        <v>75</v>
      </c>
      <c r="S24" s="107">
        <v>81</v>
      </c>
      <c r="T24" s="113">
        <v>86</v>
      </c>
      <c r="U24" s="112">
        <v>71</v>
      </c>
      <c r="V24" s="107">
        <v>76</v>
      </c>
      <c r="W24" s="107">
        <v>76</v>
      </c>
      <c r="X24" s="107">
        <v>91</v>
      </c>
      <c r="Y24" s="113">
        <v>75</v>
      </c>
      <c r="Z24" s="115">
        <v>71</v>
      </c>
      <c r="AA24" s="116">
        <v>93</v>
      </c>
      <c r="AB24" s="116">
        <v>62</v>
      </c>
      <c r="AC24" s="116">
        <v>81</v>
      </c>
      <c r="AD24" s="117">
        <v>94</v>
      </c>
      <c r="AE24" s="112">
        <v>84</v>
      </c>
      <c r="AF24" s="107">
        <v>95</v>
      </c>
      <c r="AG24" s="107">
        <v>91</v>
      </c>
      <c r="AH24" s="107">
        <v>79</v>
      </c>
      <c r="AI24" s="107">
        <v>52</v>
      </c>
      <c r="AJ24" s="107">
        <v>87</v>
      </c>
      <c r="AK24" s="108">
        <v>91</v>
      </c>
      <c r="AL24" s="100">
        <v>92</v>
      </c>
      <c r="AM24" s="100">
        <v>92</v>
      </c>
      <c r="AN24" s="110">
        <v>84</v>
      </c>
      <c r="AO24" s="108"/>
      <c r="AP24" s="109"/>
      <c r="AQ24" s="100">
        <f t="shared" si="0"/>
        <v>89.56</v>
      </c>
      <c r="AR24" s="106">
        <f t="shared" si="1"/>
        <v>81.895238095238099</v>
      </c>
      <c r="AS24" s="106"/>
    </row>
    <row r="25" spans="1:45" ht="15.75" x14ac:dyDescent="0.25">
      <c r="A25" s="3" t="s">
        <v>488</v>
      </c>
      <c r="B25" s="107">
        <v>81</v>
      </c>
      <c r="C25" s="107">
        <v>66</v>
      </c>
      <c r="D25" s="107">
        <v>71</v>
      </c>
      <c r="E25" s="107">
        <v>85</v>
      </c>
      <c r="F25" s="107">
        <v>100</v>
      </c>
      <c r="G25" s="107">
        <v>86</v>
      </c>
      <c r="H25" s="107">
        <v>78</v>
      </c>
      <c r="I25" s="112">
        <v>95</v>
      </c>
      <c r="J25" s="107">
        <v>79</v>
      </c>
      <c r="K25" s="107">
        <v>77</v>
      </c>
      <c r="L25" s="107">
        <v>83</v>
      </c>
      <c r="M25" s="107">
        <v>74</v>
      </c>
      <c r="N25" s="107">
        <v>66</v>
      </c>
      <c r="O25" s="113">
        <v>63</v>
      </c>
      <c r="P25" s="112">
        <v>65</v>
      </c>
      <c r="Q25" s="107">
        <v>63</v>
      </c>
      <c r="R25" s="107">
        <v>83</v>
      </c>
      <c r="S25" s="107">
        <v>81</v>
      </c>
      <c r="T25" s="113">
        <v>69</v>
      </c>
      <c r="U25" s="112">
        <v>52</v>
      </c>
      <c r="V25" s="107">
        <v>88</v>
      </c>
      <c r="W25" s="107">
        <v>56</v>
      </c>
      <c r="X25" s="107">
        <v>52</v>
      </c>
      <c r="Y25" s="113">
        <v>78</v>
      </c>
      <c r="Z25" s="112">
        <v>54</v>
      </c>
      <c r="AA25" s="107">
        <v>74</v>
      </c>
      <c r="AB25" s="107">
        <v>57</v>
      </c>
      <c r="AC25" s="107">
        <v>72</v>
      </c>
      <c r="AD25" s="113">
        <v>74</v>
      </c>
      <c r="AE25" s="112">
        <v>72</v>
      </c>
      <c r="AF25" s="107">
        <v>71</v>
      </c>
      <c r="AG25" s="107">
        <v>71</v>
      </c>
      <c r="AH25" s="107">
        <v>72</v>
      </c>
      <c r="AI25" s="107">
        <v>52</v>
      </c>
      <c r="AJ25" s="107">
        <v>68</v>
      </c>
      <c r="AK25" s="108">
        <v>84</v>
      </c>
      <c r="AL25" s="100">
        <v>81</v>
      </c>
      <c r="AM25" s="100">
        <v>73</v>
      </c>
      <c r="AN25" s="110">
        <v>61</v>
      </c>
      <c r="AO25" s="108"/>
      <c r="AP25" s="109"/>
      <c r="AQ25" s="100">
        <f t="shared" si="0"/>
        <v>73.760000000000005</v>
      </c>
      <c r="AR25" s="106">
        <f t="shared" si="1"/>
        <v>72.099999999999994</v>
      </c>
      <c r="AS25" s="106"/>
    </row>
    <row r="26" spans="1:45" ht="15.75" x14ac:dyDescent="0.25">
      <c r="A26" s="3" t="s">
        <v>491</v>
      </c>
      <c r="B26" s="107">
        <v>92</v>
      </c>
      <c r="C26" s="107">
        <v>94</v>
      </c>
      <c r="D26" s="107">
        <v>91</v>
      </c>
      <c r="E26" s="107">
        <v>61</v>
      </c>
      <c r="F26" s="107">
        <v>80</v>
      </c>
      <c r="G26" s="107">
        <v>86</v>
      </c>
      <c r="H26" s="107">
        <v>82</v>
      </c>
      <c r="I26" s="112">
        <v>91</v>
      </c>
      <c r="J26" s="107">
        <v>81</v>
      </c>
      <c r="K26" s="107">
        <v>92</v>
      </c>
      <c r="L26" s="107">
        <v>81</v>
      </c>
      <c r="M26" s="107">
        <v>78</v>
      </c>
      <c r="N26" s="107">
        <v>81</v>
      </c>
      <c r="O26" s="113">
        <v>91</v>
      </c>
      <c r="P26" s="112">
        <v>83</v>
      </c>
      <c r="Q26" s="107">
        <v>67</v>
      </c>
      <c r="R26" s="107">
        <v>71</v>
      </c>
      <c r="S26" s="107">
        <v>87</v>
      </c>
      <c r="T26" s="113">
        <v>87</v>
      </c>
      <c r="U26" s="112">
        <v>76</v>
      </c>
      <c r="V26" s="107">
        <v>81</v>
      </c>
      <c r="W26" s="107">
        <v>96</v>
      </c>
      <c r="X26" s="107">
        <v>91</v>
      </c>
      <c r="Y26" s="113">
        <v>81</v>
      </c>
      <c r="Z26" s="112">
        <v>83</v>
      </c>
      <c r="AA26" s="107">
        <v>83</v>
      </c>
      <c r="AB26" s="107">
        <v>55</v>
      </c>
      <c r="AC26" s="107">
        <v>81</v>
      </c>
      <c r="AD26" s="113">
        <v>91</v>
      </c>
      <c r="AE26" s="112">
        <v>87</v>
      </c>
      <c r="AF26" s="107">
        <v>87</v>
      </c>
      <c r="AG26" s="107">
        <v>93</v>
      </c>
      <c r="AH26" s="107">
        <v>59</v>
      </c>
      <c r="AI26" s="107">
        <v>63</v>
      </c>
      <c r="AJ26" s="107">
        <v>71</v>
      </c>
      <c r="AK26" s="108">
        <v>86</v>
      </c>
      <c r="AL26" s="100">
        <v>91</v>
      </c>
      <c r="AM26" s="100">
        <v>88</v>
      </c>
      <c r="AN26" s="110">
        <v>81</v>
      </c>
      <c r="AO26" s="108"/>
      <c r="AP26" s="109"/>
      <c r="AQ26" s="100">
        <f t="shared" si="0"/>
        <v>86.36</v>
      </c>
      <c r="AR26" s="106">
        <f t="shared" si="1"/>
        <v>81.695238095238096</v>
      </c>
      <c r="AS26" s="106"/>
    </row>
    <row r="27" spans="1:45" ht="15.75" x14ac:dyDescent="0.25">
      <c r="A27" s="3" t="s">
        <v>494</v>
      </c>
      <c r="B27" s="107">
        <v>74</v>
      </c>
      <c r="C27" s="107">
        <v>73</v>
      </c>
      <c r="D27" s="107">
        <v>72</v>
      </c>
      <c r="E27" s="107">
        <v>94</v>
      </c>
      <c r="F27" s="107">
        <v>95</v>
      </c>
      <c r="G27" s="107">
        <v>96</v>
      </c>
      <c r="H27" s="107">
        <v>83</v>
      </c>
      <c r="I27" s="112">
        <v>87</v>
      </c>
      <c r="J27" s="107">
        <v>92</v>
      </c>
      <c r="K27" s="107">
        <v>79</v>
      </c>
      <c r="L27" s="107">
        <v>91</v>
      </c>
      <c r="M27" s="107">
        <v>85</v>
      </c>
      <c r="N27" s="107">
        <v>88</v>
      </c>
      <c r="O27" s="113">
        <v>82</v>
      </c>
      <c r="P27" s="112">
        <v>75</v>
      </c>
      <c r="Q27" s="107">
        <v>71</v>
      </c>
      <c r="R27" s="107">
        <v>98</v>
      </c>
      <c r="S27" s="107">
        <v>95</v>
      </c>
      <c r="T27" s="113">
        <v>91</v>
      </c>
      <c r="U27" s="112">
        <v>97</v>
      </c>
      <c r="V27" s="107">
        <v>91</v>
      </c>
      <c r="W27" s="107">
        <v>85</v>
      </c>
      <c r="X27" s="107">
        <v>92</v>
      </c>
      <c r="Y27" s="113">
        <v>92</v>
      </c>
      <c r="Z27" s="112">
        <v>74</v>
      </c>
      <c r="AA27" s="107">
        <v>89</v>
      </c>
      <c r="AB27" s="107">
        <v>61</v>
      </c>
      <c r="AC27" s="107">
        <v>81</v>
      </c>
      <c r="AD27" s="113">
        <v>80</v>
      </c>
      <c r="AE27" s="112">
        <v>88</v>
      </c>
      <c r="AF27" s="107">
        <v>88</v>
      </c>
      <c r="AG27" s="107">
        <v>91</v>
      </c>
      <c r="AH27" s="107">
        <v>68</v>
      </c>
      <c r="AI27" s="107">
        <v>81</v>
      </c>
      <c r="AJ27" s="107">
        <v>76</v>
      </c>
      <c r="AK27" s="108">
        <v>85</v>
      </c>
      <c r="AL27" s="100">
        <v>95</v>
      </c>
      <c r="AM27" s="100">
        <v>85</v>
      </c>
      <c r="AN27" s="110">
        <v>84</v>
      </c>
      <c r="AO27" s="108"/>
      <c r="AP27" s="109"/>
      <c r="AQ27" s="100">
        <f t="shared" si="0"/>
        <v>87.12</v>
      </c>
      <c r="AR27" s="106">
        <f t="shared" si="1"/>
        <v>85.080952380952382</v>
      </c>
      <c r="AS27" s="106"/>
    </row>
    <row r="28" spans="1:45" ht="16.5" thickBot="1" x14ac:dyDescent="0.3">
      <c r="A28" s="3" t="s">
        <v>497</v>
      </c>
      <c r="B28" s="118">
        <v>88</v>
      </c>
      <c r="C28" s="119">
        <v>100</v>
      </c>
      <c r="D28" s="119">
        <v>84</v>
      </c>
      <c r="E28" s="119">
        <v>91</v>
      </c>
      <c r="F28" s="119">
        <v>99</v>
      </c>
      <c r="G28" s="119">
        <v>92</v>
      </c>
      <c r="H28" s="120">
        <v>77</v>
      </c>
      <c r="I28" s="121">
        <v>93</v>
      </c>
      <c r="J28" s="122">
        <v>93</v>
      </c>
      <c r="K28" s="122">
        <v>98</v>
      </c>
      <c r="L28" s="122">
        <v>91</v>
      </c>
      <c r="M28" s="122">
        <v>95</v>
      </c>
      <c r="N28" s="122">
        <v>91</v>
      </c>
      <c r="O28" s="123">
        <v>95</v>
      </c>
      <c r="P28" s="121">
        <v>91</v>
      </c>
      <c r="Q28" s="122">
        <v>82</v>
      </c>
      <c r="R28" s="122">
        <v>81</v>
      </c>
      <c r="S28" s="122">
        <v>78</v>
      </c>
      <c r="T28" s="123">
        <v>95</v>
      </c>
      <c r="U28" s="121">
        <v>94</v>
      </c>
      <c r="V28" s="122">
        <v>81</v>
      </c>
      <c r="W28" s="122">
        <v>97</v>
      </c>
      <c r="X28" s="122">
        <v>92</v>
      </c>
      <c r="Y28" s="123">
        <v>80</v>
      </c>
      <c r="Z28" s="121">
        <v>91</v>
      </c>
      <c r="AA28" s="122">
        <v>99</v>
      </c>
      <c r="AB28" s="122">
        <v>92</v>
      </c>
      <c r="AC28" s="122">
        <v>81</v>
      </c>
      <c r="AD28" s="123">
        <v>83</v>
      </c>
      <c r="AE28" s="121">
        <v>93</v>
      </c>
      <c r="AF28" s="122">
        <v>92</v>
      </c>
      <c r="AG28" s="122">
        <v>96</v>
      </c>
      <c r="AH28" s="122">
        <v>85</v>
      </c>
      <c r="AI28" s="122">
        <v>91</v>
      </c>
      <c r="AJ28" s="122">
        <v>80</v>
      </c>
      <c r="AK28" s="124">
        <v>91</v>
      </c>
      <c r="AL28" s="125">
        <v>91</v>
      </c>
      <c r="AM28" s="125">
        <v>99</v>
      </c>
      <c r="AN28" s="125">
        <v>96</v>
      </c>
      <c r="AO28" s="124"/>
      <c r="AP28" s="126"/>
      <c r="AQ28" s="100">
        <f t="shared" si="0"/>
        <v>94.64</v>
      </c>
      <c r="AR28" s="106">
        <f t="shared" si="1"/>
        <v>89.885714285714286</v>
      </c>
      <c r="AS28" s="106"/>
    </row>
    <row r="29" spans="1:45" ht="15.75" x14ac:dyDescent="0.25">
      <c r="A29" s="106"/>
      <c r="B29" s="106"/>
      <c r="C29" s="106"/>
      <c r="D29" s="100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107"/>
      <c r="AR29" s="75"/>
      <c r="AS29" s="75"/>
    </row>
    <row r="30" spans="1:45" ht="15.75" x14ac:dyDescent="0.25">
      <c r="A30" s="106"/>
      <c r="B30" s="106"/>
      <c r="C30" s="106"/>
      <c r="D30" s="106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107"/>
      <c r="AR30" s="75"/>
      <c r="AS30" s="75"/>
    </row>
    <row r="31" spans="1:45" x14ac:dyDescent="0.25">
      <c r="A31" s="111"/>
      <c r="B31" s="111"/>
      <c r="C31" s="111"/>
      <c r="D31" s="111"/>
    </row>
    <row r="32" spans="1:45" x14ac:dyDescent="0.25">
      <c r="A32" s="111"/>
      <c r="B32" s="111"/>
      <c r="C32" s="111"/>
      <c r="D32" s="111"/>
    </row>
    <row r="33" spans="1:4" x14ac:dyDescent="0.25">
      <c r="A33" s="111"/>
      <c r="B33" s="111"/>
      <c r="C33" s="111"/>
      <c r="D33" s="111"/>
    </row>
    <row r="34" spans="1:4" x14ac:dyDescent="0.25">
      <c r="A34" s="111"/>
      <c r="B34" s="111"/>
      <c r="C34" s="111"/>
      <c r="D34" s="1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Tələbə umumi məlumatlar</vt:lpstr>
      <vt:lpstr>ZU 044</vt:lpstr>
      <vt:lpstr>642.23E</vt:lpstr>
      <vt:lpstr>ZU 04.22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Programs</dc:creator>
  <cp:lastModifiedBy>HP</cp:lastModifiedBy>
  <dcterms:created xsi:type="dcterms:W3CDTF">2015-06-05T18:17:20Z</dcterms:created>
  <dcterms:modified xsi:type="dcterms:W3CDTF">2026-04-29T04:36:52Z</dcterms:modified>
</cp:coreProperties>
</file>